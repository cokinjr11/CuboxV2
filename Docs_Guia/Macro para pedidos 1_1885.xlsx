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corporativo-my.sharepoint.com/personal/jose_nunez_duracolor_com_ec/Documents/JN/DESARROLLO CONTINUO/CUBE-BOX/"/>
    </mc:Choice>
  </mc:AlternateContent>
  <xr:revisionPtr revIDLastSave="603" documentId="8_{8895B32F-A644-47EE-A906-A9A2058953D7}" xr6:coauthVersionLast="47" xr6:coauthVersionMax="47" xr10:uidLastSave="{936A028D-7709-4795-A426-4B7C77616A30}"/>
  <bookViews>
    <workbookView xWindow="-120" yWindow="-120" windowWidth="29040" windowHeight="15720" xr2:uid="{00000000-000D-0000-FFFF-FFFF00000000}"/>
  </bookViews>
  <sheets>
    <sheet name="Base de Datos" sheetId="3" r:id="rId1"/>
    <sheet name="EasyCargo importación-Metri" sheetId="2" r:id="rId2"/>
    <sheet name="Registro de Cuadros" sheetId="4" r:id="rId3"/>
    <sheet name="Registro de Cuadros (2)" sheetId="5" r:id="rId4"/>
  </sheets>
  <definedNames>
    <definedName name="_xlnm._FilterDatabase" localSheetId="2" hidden="1">'Registro de Cuadros'!$A$3:$N$109</definedName>
    <definedName name="_xlnm._FilterDatabase" localSheetId="3" hidden="1">'Registro de Cuadros (2)'!$A$3:$Q$112</definedName>
    <definedName name="ListaSistemas">_xlfn.ANCHORARRAY('Base de Datos'!$L$6)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3" l="1"/>
  <c r="O22" i="3"/>
  <c r="J22" i="3"/>
  <c r="H22" i="3"/>
  <c r="G22" i="3"/>
  <c r="C22" i="3"/>
  <c r="F22" i="3" s="1"/>
  <c r="O20" i="3"/>
  <c r="J21" i="3"/>
  <c r="H21" i="3"/>
  <c r="G21" i="3"/>
  <c r="C21" i="3"/>
  <c r="F21" i="3" s="1"/>
  <c r="H19" i="3"/>
  <c r="G19" i="3"/>
  <c r="O19" i="3"/>
  <c r="C19" i="3" s="1"/>
  <c r="F19" i="3" s="1"/>
  <c r="J19" i="3"/>
  <c r="O15" i="3"/>
  <c r="C15" i="3" s="1"/>
  <c r="F15" i="3" s="1"/>
  <c r="O13" i="3"/>
  <c r="C13" i="3" s="1"/>
  <c r="F13" i="3" s="1"/>
  <c r="O16" i="3"/>
  <c r="C16" i="3" s="1"/>
  <c r="F16" i="3" s="1"/>
  <c r="O14" i="3"/>
  <c r="C14" i="3" s="1"/>
  <c r="F14" i="3" s="1"/>
  <c r="C20" i="3"/>
  <c r="F20" i="3" s="1"/>
  <c r="O18" i="3"/>
  <c r="C18" i="3" s="1"/>
  <c r="F18" i="3" s="1"/>
  <c r="O17" i="3"/>
  <c r="C17" i="3" s="1"/>
  <c r="F17" i="3" s="1"/>
  <c r="O12" i="3"/>
  <c r="C12" i="3" s="1"/>
  <c r="F12" i="3" s="1"/>
  <c r="Q9" i="3"/>
  <c r="O9" i="3"/>
  <c r="C9" i="3" s="1"/>
  <c r="F9" i="3" s="1"/>
  <c r="O8" i="3"/>
  <c r="C8" i="3" s="1"/>
  <c r="F8" i="3" s="1"/>
  <c r="O11" i="3"/>
  <c r="C11" i="3" s="1"/>
  <c r="F11" i="3" s="1"/>
  <c r="O10" i="3"/>
  <c r="C10" i="3" s="1"/>
  <c r="F10" i="3" s="1"/>
  <c r="O6" i="3"/>
  <c r="C6" i="3" s="1"/>
  <c r="F6" i="3" s="1"/>
  <c r="O7" i="3"/>
  <c r="C7" i="3" s="1"/>
  <c r="F7" i="3" s="1"/>
  <c r="G7" i="3"/>
  <c r="M4" i="4"/>
  <c r="L4" i="4"/>
  <c r="G6" i="3"/>
  <c r="M112" i="5"/>
  <c r="L112" i="5"/>
  <c r="M111" i="5"/>
  <c r="L111" i="5"/>
  <c r="M110" i="5"/>
  <c r="L110" i="5"/>
  <c r="M109" i="5"/>
  <c r="L109" i="5"/>
  <c r="M108" i="5"/>
  <c r="L108" i="5"/>
  <c r="M107" i="5"/>
  <c r="L107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4" i="5"/>
  <c r="L4" i="5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I6" i="4"/>
  <c r="I5" i="4"/>
  <c r="I4" i="4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0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G14" i="3"/>
  <c r="H14" i="3"/>
  <c r="G15" i="3"/>
  <c r="H15" i="3"/>
  <c r="G16" i="3"/>
  <c r="H16" i="3"/>
  <c r="G17" i="3"/>
  <c r="H17" i="3"/>
  <c r="G18" i="3"/>
  <c r="H18" i="3"/>
  <c r="G20" i="3"/>
  <c r="H20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H6" i="3"/>
  <c r="L6" i="3" l="1" a="1"/>
  <c r="D109" i="5"/>
  <c r="I109" i="5" s="1"/>
  <c r="F108" i="5"/>
  <c r="K108" i="5" s="1"/>
  <c r="D107" i="5"/>
  <c r="I107" i="5" s="1"/>
  <c r="D102" i="5"/>
  <c r="I102" i="5" s="1"/>
  <c r="D101" i="5"/>
  <c r="I101" i="5" s="1"/>
  <c r="F100" i="5"/>
  <c r="K100" i="5" s="1"/>
  <c r="D99" i="5"/>
  <c r="I99" i="5" s="1"/>
  <c r="F98" i="5"/>
  <c r="K98" i="5" s="1"/>
  <c r="F97" i="5"/>
  <c r="K97" i="5" s="1"/>
  <c r="D96" i="5"/>
  <c r="I96" i="5" s="1"/>
  <c r="D95" i="5"/>
  <c r="I95" i="5" s="1"/>
  <c r="D94" i="5"/>
  <c r="I94" i="5" s="1"/>
  <c r="D93" i="5"/>
  <c r="I93" i="5" s="1"/>
  <c r="D88" i="5"/>
  <c r="I88" i="5" s="1"/>
  <c r="D85" i="5"/>
  <c r="I85" i="5" s="1"/>
  <c r="F82" i="5"/>
  <c r="K82" i="5" s="1"/>
  <c r="F81" i="5"/>
  <c r="K81" i="5" s="1"/>
  <c r="D79" i="5"/>
  <c r="I79" i="5" s="1"/>
  <c r="D76" i="5"/>
  <c r="I76" i="5" s="1"/>
  <c r="D74" i="5"/>
  <c r="I74" i="5" s="1"/>
  <c r="D71" i="5"/>
  <c r="I71" i="5" s="1"/>
  <c r="F68" i="5"/>
  <c r="K68" i="5" s="1"/>
  <c r="D67" i="5"/>
  <c r="I67" i="5" s="1"/>
  <c r="F64" i="5"/>
  <c r="K64" i="5" s="1"/>
  <c r="F63" i="5"/>
  <c r="K63" i="5" s="1"/>
  <c r="F62" i="5"/>
  <c r="K62" i="5" s="1"/>
  <c r="D59" i="5"/>
  <c r="I59" i="5" s="1"/>
  <c r="D56" i="5"/>
  <c r="I56" i="5" s="1"/>
  <c r="F54" i="5"/>
  <c r="K54" i="5" s="1"/>
  <c r="D47" i="5"/>
  <c r="I47" i="5" s="1"/>
  <c r="D42" i="5"/>
  <c r="I42" i="5" s="1"/>
  <c r="D40" i="5"/>
  <c r="I40" i="5" s="1"/>
  <c r="D38" i="5"/>
  <c r="I38" i="5" s="1"/>
  <c r="F32" i="5"/>
  <c r="K32" i="5" s="1"/>
  <c r="D29" i="5"/>
  <c r="I29" i="5" s="1"/>
  <c r="F25" i="5"/>
  <c r="K25" i="5" s="1"/>
  <c r="F24" i="5"/>
  <c r="K24" i="5" s="1"/>
  <c r="D23" i="5"/>
  <c r="I23" i="5" s="1"/>
  <c r="D21" i="5"/>
  <c r="I21" i="5" s="1"/>
  <c r="D19" i="5"/>
  <c r="I19" i="5" s="1"/>
  <c r="D16" i="5"/>
  <c r="I16" i="5" s="1"/>
  <c r="F14" i="5"/>
  <c r="K14" i="5" s="1"/>
  <c r="D11" i="5"/>
  <c r="I11" i="5" s="1"/>
  <c r="F8" i="5"/>
  <c r="K8" i="5" s="1"/>
  <c r="D7" i="5"/>
  <c r="I7" i="5" s="1"/>
  <c r="D5" i="5"/>
  <c r="I5" i="5" s="1"/>
  <c r="F8" i="4"/>
  <c r="K8" i="4" s="1"/>
  <c r="F12" i="4"/>
  <c r="K12" i="4" s="1"/>
  <c r="F32" i="4"/>
  <c r="K32" i="4" s="1"/>
  <c r="F36" i="4"/>
  <c r="K36" i="4" s="1"/>
  <c r="F38" i="4"/>
  <c r="K38" i="4" s="1"/>
  <c r="F40" i="4"/>
  <c r="K40" i="4" s="1"/>
  <c r="F43" i="4"/>
  <c r="K43" i="4" s="1"/>
  <c r="F46" i="4"/>
  <c r="K46" i="4" s="1"/>
  <c r="F48" i="4"/>
  <c r="K48" i="4" s="1"/>
  <c r="F51" i="4"/>
  <c r="K51" i="4" s="1"/>
  <c r="F54" i="4"/>
  <c r="K54" i="4" s="1"/>
  <c r="F5" i="4"/>
  <c r="K5" i="4" s="1"/>
  <c r="D65" i="5"/>
  <c r="I65" i="5" s="1"/>
  <c r="F15" i="5"/>
  <c r="K15" i="5" s="1"/>
  <c r="F6" i="4"/>
  <c r="K6" i="4" s="1"/>
  <c r="F59" i="5"/>
  <c r="K59" i="5" s="1"/>
  <c r="D53" i="5"/>
  <c r="I53" i="5" s="1"/>
  <c r="D50" i="5"/>
  <c r="I50" i="5" s="1"/>
  <c r="F45" i="5"/>
  <c r="K45" i="5" s="1"/>
  <c r="D41" i="5"/>
  <c r="I41" i="5" s="1"/>
  <c r="D39" i="5"/>
  <c r="I39" i="5" s="1"/>
  <c r="F37" i="5"/>
  <c r="K37" i="5" s="1"/>
  <c r="D36" i="5"/>
  <c r="I36" i="5" s="1"/>
  <c r="D33" i="5"/>
  <c r="I33" i="5" s="1"/>
  <c r="D31" i="5"/>
  <c r="I31" i="5" s="1"/>
  <c r="F28" i="5"/>
  <c r="K28" i="5" s="1"/>
  <c r="D27" i="5"/>
  <c r="I27" i="5" s="1"/>
  <c r="F23" i="5"/>
  <c r="K23" i="5" s="1"/>
  <c r="F19" i="5"/>
  <c r="K19" i="5" s="1"/>
  <c r="D17" i="5"/>
  <c r="I17" i="5" s="1"/>
  <c r="D12" i="5"/>
  <c r="I12" i="5" s="1"/>
  <c r="F10" i="5"/>
  <c r="K10" i="5" s="1"/>
  <c r="F9" i="5"/>
  <c r="K9" i="5" s="1"/>
  <c r="D8" i="5"/>
  <c r="I8" i="5" s="1"/>
  <c r="F10" i="4"/>
  <c r="K10" i="4" s="1"/>
  <c r="F14" i="4"/>
  <c r="K14" i="4" s="1"/>
  <c r="F31" i="4"/>
  <c r="K31" i="4" s="1"/>
  <c r="F34" i="4"/>
  <c r="K34" i="4" s="1"/>
  <c r="F41" i="4"/>
  <c r="K41" i="4" s="1"/>
  <c r="F44" i="4"/>
  <c r="K44" i="4" s="1"/>
  <c r="F74" i="5"/>
  <c r="K74" i="5" s="1"/>
  <c r="F94" i="5"/>
  <c r="K94" i="5" s="1"/>
  <c r="D92" i="5"/>
  <c r="I92" i="5" s="1"/>
  <c r="F91" i="5"/>
  <c r="K91" i="5" s="1"/>
  <c r="F90" i="5"/>
  <c r="K90" i="5" s="1"/>
  <c r="F89" i="5"/>
  <c r="K89" i="5" s="1"/>
  <c r="F87" i="5"/>
  <c r="K87" i="5" s="1"/>
  <c r="F86" i="5"/>
  <c r="K86" i="5" s="1"/>
  <c r="F84" i="5"/>
  <c r="K84" i="5" s="1"/>
  <c r="D83" i="5"/>
  <c r="I83" i="5" s="1"/>
  <c r="D81" i="5"/>
  <c r="I81" i="5" s="1"/>
  <c r="D80" i="5"/>
  <c r="I80" i="5" s="1"/>
  <c r="F79" i="5"/>
  <c r="K79" i="5" s="1"/>
  <c r="D78" i="5"/>
  <c r="I78" i="5" s="1"/>
  <c r="F77" i="5"/>
  <c r="K77" i="5" s="1"/>
  <c r="F76" i="5"/>
  <c r="K76" i="5" s="1"/>
  <c r="F75" i="5"/>
  <c r="K75" i="5" s="1"/>
  <c r="F73" i="5"/>
  <c r="K73" i="5" s="1"/>
  <c r="D72" i="5"/>
  <c r="I72" i="5" s="1"/>
  <c r="F70" i="5"/>
  <c r="K70" i="5" s="1"/>
  <c r="D69" i="5"/>
  <c r="I69" i="5" s="1"/>
  <c r="D68" i="5"/>
  <c r="I68" i="5" s="1"/>
  <c r="F67" i="5"/>
  <c r="K67" i="5" s="1"/>
  <c r="D66" i="5"/>
  <c r="I66" i="5" s="1"/>
  <c r="F65" i="5"/>
  <c r="K65" i="5" s="1"/>
  <c r="D64" i="5"/>
  <c r="I64" i="5" s="1"/>
  <c r="F61" i="5"/>
  <c r="K61" i="5" s="1"/>
  <c r="F60" i="5"/>
  <c r="K60" i="5" s="1"/>
  <c r="D58" i="5"/>
  <c r="I58" i="5" s="1"/>
  <c r="F57" i="5"/>
  <c r="K57" i="5" s="1"/>
  <c r="D55" i="5"/>
  <c r="I55" i="5" s="1"/>
  <c r="F53" i="5"/>
  <c r="K53" i="5" s="1"/>
  <c r="D52" i="5"/>
  <c r="I52" i="5" s="1"/>
  <c r="D51" i="5"/>
  <c r="I51" i="5" s="1"/>
  <c r="D49" i="5"/>
  <c r="I49" i="5" s="1"/>
  <c r="D48" i="5"/>
  <c r="I48" i="5" s="1"/>
  <c r="F46" i="5"/>
  <c r="K46" i="5" s="1"/>
  <c r="F44" i="5"/>
  <c r="K44" i="5" s="1"/>
  <c r="F43" i="5"/>
  <c r="K43" i="5" s="1"/>
  <c r="F42" i="5"/>
  <c r="K42" i="5" s="1"/>
  <c r="F39" i="5"/>
  <c r="K39" i="5" s="1"/>
  <c r="F38" i="5"/>
  <c r="K38" i="5" s="1"/>
  <c r="F36" i="5"/>
  <c r="K36" i="5" s="1"/>
  <c r="F35" i="5"/>
  <c r="K35" i="5" s="1"/>
  <c r="F34" i="5"/>
  <c r="K34" i="5" s="1"/>
  <c r="D32" i="5"/>
  <c r="I32" i="5" s="1"/>
  <c r="D30" i="5"/>
  <c r="I30" i="5" s="1"/>
  <c r="D28" i="5"/>
  <c r="I28" i="5" s="1"/>
  <c r="D26" i="5"/>
  <c r="I26" i="5" s="1"/>
  <c r="D25" i="5"/>
  <c r="I25" i="5" s="1"/>
  <c r="D24" i="5"/>
  <c r="I24" i="5" s="1"/>
  <c r="D22" i="5"/>
  <c r="I22" i="5" s="1"/>
  <c r="D20" i="5"/>
  <c r="I20" i="5" s="1"/>
  <c r="F18" i="5"/>
  <c r="K18" i="5" s="1"/>
  <c r="F17" i="5"/>
  <c r="K17" i="5" s="1"/>
  <c r="F16" i="5"/>
  <c r="K16" i="5" s="1"/>
  <c r="D14" i="5"/>
  <c r="I14" i="5" s="1"/>
  <c r="D13" i="5"/>
  <c r="I13" i="5" s="1"/>
  <c r="F11" i="5"/>
  <c r="K11" i="5" s="1"/>
  <c r="F7" i="5"/>
  <c r="K7" i="5" s="1"/>
  <c r="D6" i="5"/>
  <c r="I6" i="5" s="1"/>
  <c r="F4" i="5"/>
  <c r="K4" i="5" s="1"/>
  <c r="F9" i="4"/>
  <c r="K9" i="4" s="1"/>
  <c r="F13" i="4"/>
  <c r="K13" i="4" s="1"/>
  <c r="F16" i="4"/>
  <c r="K16" i="4" s="1"/>
  <c r="F30" i="4"/>
  <c r="K30" i="4" s="1"/>
  <c r="F33" i="4"/>
  <c r="K33" i="4" s="1"/>
  <c r="F35" i="4"/>
  <c r="K35" i="4" s="1"/>
  <c r="F37" i="4"/>
  <c r="K37" i="4" s="1"/>
  <c r="F39" i="4"/>
  <c r="K39" i="4" s="1"/>
  <c r="D108" i="5"/>
  <c r="I108" i="5" s="1"/>
  <c r="D4" i="5"/>
  <c r="I4" i="5" s="1"/>
  <c r="F112" i="5"/>
  <c r="K112" i="5" s="1"/>
  <c r="D112" i="5"/>
  <c r="I112" i="5" s="1"/>
  <c r="F111" i="5"/>
  <c r="K111" i="5" s="1"/>
  <c r="D111" i="5"/>
  <c r="I111" i="5" s="1"/>
  <c r="F110" i="5"/>
  <c r="K110" i="5" s="1"/>
  <c r="D110" i="5"/>
  <c r="I110" i="5" s="1"/>
  <c r="F109" i="5"/>
  <c r="K109" i="5" s="1"/>
  <c r="F4" i="4"/>
  <c r="K4" i="4" s="1"/>
  <c r="F107" i="5"/>
  <c r="K107" i="5" s="1"/>
  <c r="F102" i="5"/>
  <c r="K102" i="5" s="1"/>
  <c r="F101" i="5"/>
  <c r="K101" i="5" s="1"/>
  <c r="D100" i="5"/>
  <c r="I100" i="5" s="1"/>
  <c r="F99" i="5"/>
  <c r="K99" i="5" s="1"/>
  <c r="D98" i="5"/>
  <c r="I98" i="5" s="1"/>
  <c r="D97" i="5"/>
  <c r="I97" i="5" s="1"/>
  <c r="F96" i="5"/>
  <c r="K96" i="5" s="1"/>
  <c r="F95" i="5"/>
  <c r="K95" i="5" s="1"/>
  <c r="F93" i="5"/>
  <c r="K93" i="5" s="1"/>
  <c r="F92" i="5"/>
  <c r="K92" i="5" s="1"/>
  <c r="D91" i="5"/>
  <c r="I91" i="5" s="1"/>
  <c r="D90" i="5"/>
  <c r="I90" i="5" s="1"/>
  <c r="D89" i="5"/>
  <c r="I89" i="5" s="1"/>
  <c r="F88" i="5"/>
  <c r="K88" i="5" s="1"/>
  <c r="D87" i="5"/>
  <c r="I87" i="5" s="1"/>
  <c r="D86" i="5"/>
  <c r="I86" i="5" s="1"/>
  <c r="F85" i="5"/>
  <c r="K85" i="5" s="1"/>
  <c r="D84" i="5"/>
  <c r="I84" i="5" s="1"/>
  <c r="F83" i="5"/>
  <c r="K83" i="5" s="1"/>
  <c r="D82" i="5"/>
  <c r="I82" i="5" s="1"/>
  <c r="F80" i="5"/>
  <c r="K80" i="5" s="1"/>
  <c r="F78" i="5"/>
  <c r="K78" i="5" s="1"/>
  <c r="D77" i="5"/>
  <c r="I77" i="5" s="1"/>
  <c r="D75" i="5"/>
  <c r="I75" i="5" s="1"/>
  <c r="D73" i="5"/>
  <c r="I73" i="5" s="1"/>
  <c r="F72" i="5"/>
  <c r="K72" i="5" s="1"/>
  <c r="F71" i="5"/>
  <c r="K71" i="5" s="1"/>
  <c r="D70" i="5"/>
  <c r="I70" i="5" s="1"/>
  <c r="F69" i="5"/>
  <c r="K69" i="5" s="1"/>
  <c r="F66" i="5"/>
  <c r="K66" i="5" s="1"/>
  <c r="D63" i="5"/>
  <c r="I63" i="5" s="1"/>
  <c r="D62" i="5"/>
  <c r="I62" i="5" s="1"/>
  <c r="D61" i="5"/>
  <c r="I61" i="5" s="1"/>
  <c r="D60" i="5"/>
  <c r="I60" i="5" s="1"/>
  <c r="F58" i="5"/>
  <c r="K58" i="5" s="1"/>
  <c r="D57" i="5"/>
  <c r="I57" i="5" s="1"/>
  <c r="F56" i="5"/>
  <c r="K56" i="5" s="1"/>
  <c r="F55" i="5"/>
  <c r="K55" i="5" s="1"/>
  <c r="D54" i="5"/>
  <c r="I54" i="5" s="1"/>
  <c r="F52" i="5"/>
  <c r="K52" i="5" s="1"/>
  <c r="F51" i="5"/>
  <c r="K51" i="5" s="1"/>
  <c r="F50" i="5"/>
  <c r="K50" i="5" s="1"/>
  <c r="F49" i="5"/>
  <c r="K49" i="5" s="1"/>
  <c r="F48" i="5"/>
  <c r="K48" i="5" s="1"/>
  <c r="F47" i="5"/>
  <c r="K47" i="5" s="1"/>
  <c r="D46" i="5"/>
  <c r="I46" i="5" s="1"/>
  <c r="D45" i="5"/>
  <c r="I45" i="5" s="1"/>
  <c r="D44" i="5"/>
  <c r="I44" i="5" s="1"/>
  <c r="D43" i="5"/>
  <c r="I43" i="5" s="1"/>
  <c r="F41" i="5"/>
  <c r="K41" i="5" s="1"/>
  <c r="F40" i="5"/>
  <c r="K40" i="5" s="1"/>
  <c r="D37" i="5"/>
  <c r="I37" i="5" s="1"/>
  <c r="D35" i="5"/>
  <c r="I35" i="5" s="1"/>
  <c r="D34" i="5"/>
  <c r="I34" i="5" s="1"/>
  <c r="F33" i="5"/>
  <c r="K33" i="5" s="1"/>
  <c r="F31" i="5"/>
  <c r="K31" i="5" s="1"/>
  <c r="F30" i="5"/>
  <c r="K30" i="5" s="1"/>
  <c r="F29" i="5"/>
  <c r="K29" i="5" s="1"/>
  <c r="F27" i="5"/>
  <c r="K27" i="5" s="1"/>
  <c r="F26" i="5"/>
  <c r="K26" i="5" s="1"/>
  <c r="F22" i="5"/>
  <c r="K22" i="5" s="1"/>
  <c r="F21" i="5"/>
  <c r="K21" i="5" s="1"/>
  <c r="F20" i="5"/>
  <c r="K20" i="5" s="1"/>
  <c r="D18" i="5"/>
  <c r="I18" i="5" s="1"/>
  <c r="D15" i="5"/>
  <c r="I15" i="5" s="1"/>
  <c r="F13" i="5"/>
  <c r="K13" i="5" s="1"/>
  <c r="F12" i="5"/>
  <c r="K12" i="5" s="1"/>
  <c r="D10" i="5"/>
  <c r="I10" i="5" s="1"/>
  <c r="D9" i="5"/>
  <c r="I9" i="5" s="1"/>
  <c r="F6" i="5"/>
  <c r="K6" i="5" s="1"/>
  <c r="F5" i="5"/>
  <c r="K5" i="5" s="1"/>
  <c r="F7" i="4"/>
  <c r="K7" i="4" s="1"/>
  <c r="F11" i="4"/>
  <c r="K11" i="4" s="1"/>
  <c r="F15" i="4"/>
  <c r="K15" i="4" s="1"/>
  <c r="F42" i="4"/>
  <c r="K42" i="4" s="1"/>
  <c r="F45" i="4"/>
  <c r="K45" i="4" s="1"/>
  <c r="F47" i="4"/>
  <c r="K47" i="4" s="1"/>
  <c r="F49" i="4"/>
  <c r="K49" i="4" s="1"/>
  <c r="F50" i="4"/>
  <c r="K50" i="4" s="1"/>
  <c r="F52" i="4"/>
  <c r="K52" i="4" s="1"/>
  <c r="F53" i="4"/>
  <c r="K53" i="4" s="1"/>
  <c r="F55" i="4"/>
  <c r="K5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 Sojak</author>
  </authors>
  <commentList>
    <comment ref="A2" authorId="0" shapeId="0" xr:uid="{FE3C52C9-76D8-4578-8D2E-F890997CFC67}">
      <text>
        <r>
          <rPr>
            <sz val="8"/>
            <color rgb="FF000000"/>
            <rFont val="Tahoma"/>
            <family val="2"/>
          </rPr>
          <t>Nombre del grupo al cual el ítem pertenecerá. Puede afectar el orden de los ítemes de carga.</t>
        </r>
      </text>
    </comment>
    <comment ref="B2" authorId="0" shapeId="0" xr:uid="{A847C7FC-ECBC-42AD-BD6D-CDFDAC57D919}">
      <text>
        <r>
          <rPr>
            <sz val="8"/>
            <color rgb="FF000000"/>
            <rFont val="Tahoma"/>
            <family val="2"/>
          </rPr>
          <t>Su descripción (nombre) del ítem se visualiza en ítem box, en informe, etc...</t>
        </r>
      </text>
    </comment>
    <comment ref="C2" authorId="0" shapeId="0" xr:uid="{EE29F8FE-BEB9-41BA-BE7B-C90134F7EA60}">
      <text>
        <r>
          <rPr>
            <sz val="8"/>
            <color rgb="FF000000"/>
            <rFont val="Tahoma"/>
            <family val="2"/>
          </rPr>
          <t>Número de piezas de ítemes</t>
        </r>
      </text>
    </comment>
    <comment ref="D2" authorId="0" shapeId="0" xr:uid="{84BCCEBF-D033-4EA6-BCE2-433AB062C564}">
      <text>
        <r>
          <rPr>
            <sz val="8"/>
            <color rgb="FF000000"/>
            <rFont val="Tahoma"/>
            <family val="2"/>
          </rPr>
          <t>Longitud de ítem</t>
        </r>
      </text>
    </comment>
    <comment ref="E2" authorId="0" shapeId="0" xr:uid="{F9C81E1B-6C17-4EF0-A523-5A6D815A354F}">
      <text>
        <r>
          <rPr>
            <sz val="8"/>
            <color rgb="FF000000"/>
            <rFont val="Tahoma"/>
            <family val="2"/>
          </rPr>
          <t>Anchura de ítem</t>
        </r>
      </text>
    </comment>
    <comment ref="F2" authorId="0" shapeId="0" xr:uid="{53158C0D-B899-487C-A75C-4D76193DA4E9}">
      <text>
        <r>
          <rPr>
            <sz val="8"/>
            <color rgb="FF000000"/>
            <rFont val="Tahoma"/>
            <family val="2"/>
          </rPr>
          <t>Altitud de ítem</t>
        </r>
      </text>
    </comment>
    <comment ref="G2" authorId="0" shapeId="0" xr:uid="{A904361D-E555-499D-BA3B-3B4095B55A5F}">
      <text>
        <r>
          <rPr>
            <sz val="8"/>
            <color rgb="FF000000"/>
            <rFont val="Tahoma"/>
            <family val="2"/>
          </rPr>
          <t>El peso total de todas las piezas del artículo junto.</t>
        </r>
      </text>
    </comment>
    <comment ref="H2" authorId="0" shapeId="0" xr:uid="{319ED4D0-8EAD-4DE8-936C-0764765F91BA}">
      <text>
        <r>
          <rPr>
            <sz val="8"/>
            <color rgb="FF000000"/>
            <rFont val="Tahoma"/>
            <family val="2"/>
          </rPr>
          <t>Define, si las piezas puede apilar entre ellas y junto con otros ítemes.
Y=Sí, permitir apilar los ítemes
N=No, prohibir apilar los ítemes
La configuración inicial es Sí.</t>
        </r>
      </text>
    </comment>
    <comment ref="I2" authorId="0" shapeId="0" xr:uid="{91A2BF69-7C51-4ECD-83EE-EF2C0FFFEDD1}">
      <text>
        <r>
          <rPr>
            <sz val="8"/>
            <color rgb="FF000000"/>
            <rFont val="Tahoma"/>
            <family val="2"/>
          </rPr>
          <t>Define, si las piezas puede inclinar.
Y=Sí, está permitido inclinar los ítemes
N=No, está prohibido inclinar los itemes
La configuración inicial es Sí.</t>
        </r>
      </text>
    </comment>
    <comment ref="J2" authorId="0" shapeId="0" xr:uid="{531A4252-D612-4019-9DA1-A609ED84D434}">
      <text>
        <r>
          <rPr>
            <sz val="8"/>
            <color rgb="FF000000"/>
            <rFont val="Tahoma"/>
            <family val="2"/>
          </rPr>
          <t>Define, si las piezas puede rotar. Conviene usar si tiene muy largas piezas que deben estar en sentido de marcha.
Y=Sí, el ítem puede rotar
N=No, con el ítem no se puede rotar
La configuración inicial es Sí.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<sst xmlns="http://schemas.openxmlformats.org/spreadsheetml/2006/main" count="1004" uniqueCount="169">
  <si>
    <t>EasyCargo plantilla de la importación</t>
  </si>
  <si>
    <t>Grupo</t>
  </si>
  <si>
    <t>Descripción</t>
  </si>
  <si>
    <t>Piezas</t>
  </si>
  <si>
    <t>Longitud</t>
  </si>
  <si>
    <t>Anchura</t>
  </si>
  <si>
    <t>Altura</t>
  </si>
  <si>
    <t>Peso total</t>
  </si>
  <si>
    <t>Apilar</t>
  </si>
  <si>
    <t>Inclinar</t>
  </si>
  <si>
    <t>Rotar</t>
  </si>
  <si>
    <t>centímetros</t>
  </si>
  <si>
    <t>kilogramos</t>
  </si>
  <si>
    <r>
      <rPr>
        <b/>
        <i/>
        <sz val="11"/>
        <color rgb="FF000000"/>
        <rFont val="Calibri"/>
        <family val="2"/>
      </rPr>
      <t>Y</t>
    </r>
    <r>
      <rPr>
        <i/>
        <sz val="11"/>
        <color rgb="FF000000"/>
        <rFont val="Calibri"/>
        <family val="2"/>
      </rPr>
      <t>/N</t>
    </r>
  </si>
  <si>
    <t>KA 4016 Tilt and turn/Inward opening</t>
  </si>
  <si>
    <t>KA French Door</t>
  </si>
  <si>
    <t>KA Window wall</t>
  </si>
  <si>
    <t>59-010</t>
  </si>
  <si>
    <t>20-008</t>
  </si>
  <si>
    <t>57-013</t>
  </si>
  <si>
    <t>52-014</t>
  </si>
  <si>
    <t>22-009</t>
  </si>
  <si>
    <t>53-013</t>
  </si>
  <si>
    <t>58-013</t>
  </si>
  <si>
    <t>35-C1_A2.2</t>
  </si>
  <si>
    <t>63-B1</t>
  </si>
  <si>
    <t>35-C1_A2.1</t>
  </si>
  <si>
    <t>34-C3_004.1</t>
  </si>
  <si>
    <t>14-B</t>
  </si>
  <si>
    <t>4-C5_003</t>
  </si>
  <si>
    <t>15-S</t>
  </si>
  <si>
    <t>13-003</t>
  </si>
  <si>
    <t>29-C3_004</t>
  </si>
  <si>
    <t>9-003</t>
  </si>
  <si>
    <t>26-C8</t>
  </si>
  <si>
    <t>21-011</t>
  </si>
  <si>
    <t>24-C8</t>
  </si>
  <si>
    <t>55-C10</t>
  </si>
  <si>
    <t>56-C7</t>
  </si>
  <si>
    <t>54-C7</t>
  </si>
  <si>
    <t>23-C9</t>
  </si>
  <si>
    <t>8-C18</t>
  </si>
  <si>
    <t>42-C13</t>
  </si>
  <si>
    <t>27-012</t>
  </si>
  <si>
    <t>44-C17_2</t>
  </si>
  <si>
    <t>6-C18</t>
  </si>
  <si>
    <t>2-C17</t>
  </si>
  <si>
    <t>3-C17_C14</t>
  </si>
  <si>
    <t>34-C3_004.2</t>
  </si>
  <si>
    <t>5-C17_C14</t>
  </si>
  <si>
    <t>35-C12_C15</t>
  </si>
  <si>
    <t>14-S</t>
  </si>
  <si>
    <t>29</t>
  </si>
  <si>
    <t>30-C1_A3</t>
  </si>
  <si>
    <t>37-C1_A2</t>
  </si>
  <si>
    <t>31-C1_A3</t>
  </si>
  <si>
    <t>62-B1</t>
  </si>
  <si>
    <t>61-A2</t>
  </si>
  <si>
    <t>40-C6</t>
  </si>
  <si>
    <t>4</t>
  </si>
  <si>
    <t>32-C15</t>
  </si>
  <si>
    <t>38-C6</t>
  </si>
  <si>
    <t>12-C12_B1</t>
  </si>
  <si>
    <t>11-B1</t>
  </si>
  <si>
    <t>49-A2</t>
  </si>
  <si>
    <t>47-A1</t>
  </si>
  <si>
    <t>46 -A1</t>
  </si>
  <si>
    <t>50-A2</t>
  </si>
  <si>
    <t>39</t>
  </si>
  <si>
    <t>48-14</t>
  </si>
  <si>
    <t>1-B1</t>
  </si>
  <si>
    <t>36-C1_A2</t>
  </si>
  <si>
    <t>64-B1</t>
  </si>
  <si>
    <t>51-A2</t>
  </si>
  <si>
    <t>19-C1_A2</t>
  </si>
  <si>
    <t>17-C4</t>
  </si>
  <si>
    <t>16-C4</t>
  </si>
  <si>
    <t>45-B1</t>
  </si>
  <si>
    <t>10-B1</t>
  </si>
  <si>
    <t>18-C1_A2</t>
  </si>
  <si>
    <t>33-C15</t>
  </si>
  <si>
    <t>41-C17</t>
  </si>
  <si>
    <t>60-A2</t>
  </si>
  <si>
    <t>KA Window wall - 1 Panel</t>
  </si>
  <si>
    <t>Picture window</t>
  </si>
  <si>
    <t>SGD</t>
  </si>
  <si>
    <t>N</t>
  </si>
  <si>
    <t>Picture Window</t>
  </si>
  <si>
    <t>Horizonal Roller</t>
  </si>
  <si>
    <t>Casement out KA</t>
  </si>
  <si>
    <t>Dream Window</t>
  </si>
  <si>
    <t>Tilt &amp; Turn</t>
  </si>
  <si>
    <t>Single Hung</t>
  </si>
  <si>
    <t>Sliding glass</t>
  </si>
  <si>
    <t>Window Wall</t>
  </si>
  <si>
    <t>Store Fornt</t>
  </si>
  <si>
    <t>Que se toma</t>
  </si>
  <si>
    <t>Marco</t>
  </si>
  <si>
    <t xml:space="preserve">Ancho </t>
  </si>
  <si>
    <t>Alto</t>
  </si>
  <si>
    <t>Grosor</t>
  </si>
  <si>
    <t>Valor de caja</t>
  </si>
  <si>
    <t>Grosor Excel</t>
  </si>
  <si>
    <t>Alto Excel</t>
  </si>
  <si>
    <t>Ancho Excel</t>
  </si>
  <si>
    <t xml:space="preserve"> </t>
  </si>
  <si>
    <t>Hoja fija</t>
  </si>
  <si>
    <t>Hoja Activa</t>
  </si>
  <si>
    <t>Hoja que recibe</t>
  </si>
  <si>
    <t>French Door KA 1 hoja</t>
  </si>
  <si>
    <t>French Door KA 2 hojas</t>
  </si>
  <si>
    <t>Sistema</t>
  </si>
  <si>
    <t>Clave (para búsqueda)</t>
  </si>
  <si>
    <t>TABLA DE REGISTRO DE CUADROS</t>
  </si>
  <si>
    <t>Ancho</t>
  </si>
  <si>
    <t>Sliding glass - Hoja que recibe</t>
  </si>
  <si>
    <t>Sliding glass - Hoja Activa</t>
  </si>
  <si>
    <t>Sliding glass - Hoja fija</t>
  </si>
  <si>
    <t>Sistema y Grosor se toman de la hoja "Hoja1" (base de datos). Celdas azules = las llenas tú.</t>
  </si>
  <si>
    <t>Codigo</t>
  </si>
  <si>
    <t>desarmado</t>
  </si>
  <si>
    <t>Otro</t>
  </si>
  <si>
    <t>Sistemas (lista automática)</t>
  </si>
  <si>
    <t>Cuadro Real</t>
  </si>
  <si>
    <t>Cuadro escogido</t>
  </si>
  <si>
    <t xml:space="preserve">KA SGD                   </t>
  </si>
  <si>
    <t xml:space="preserve">FIJO MODULAR 3           </t>
  </si>
  <si>
    <t xml:space="preserve">KA WINDOW WALL           </t>
  </si>
  <si>
    <t xml:space="preserve">KA FRENCH DOOR           </t>
  </si>
  <si>
    <t xml:space="preserve">KA TILT-TURN             </t>
  </si>
  <si>
    <t>Marcos</t>
  </si>
  <si>
    <t>Hojas</t>
  </si>
  <si>
    <t>43-C2-C20_C2</t>
  </si>
  <si>
    <t>22-009 - Hoja Activa</t>
  </si>
  <si>
    <t>52-014 - Hoja Activa</t>
  </si>
  <si>
    <t>57-010</t>
  </si>
  <si>
    <t xml:space="preserve"> que ocupe la mayor medida posible o menor distanci posible cuando ocupe el producto</t>
  </si>
  <si>
    <t>espesor manda</t>
  </si>
  <si>
    <t>A</t>
  </si>
  <si>
    <t>VINTAGE</t>
  </si>
  <si>
    <t>6253 - Raquel Zaki - Fab. Ventaneria</t>
  </si>
  <si>
    <t>B</t>
  </si>
  <si>
    <t>C</t>
  </si>
  <si>
    <t>D</t>
  </si>
  <si>
    <t>D1</t>
  </si>
  <si>
    <t>D12</t>
  </si>
  <si>
    <t>D3</t>
  </si>
  <si>
    <t>D4</t>
  </si>
  <si>
    <t>E</t>
  </si>
  <si>
    <t>F</t>
  </si>
  <si>
    <t>G</t>
  </si>
  <si>
    <t>H</t>
  </si>
  <si>
    <t>J</t>
  </si>
  <si>
    <t>K</t>
  </si>
  <si>
    <t>M1</t>
  </si>
  <si>
    <t>M2</t>
  </si>
  <si>
    <t>N1</t>
  </si>
  <si>
    <t>N2</t>
  </si>
  <si>
    <t>N3</t>
  </si>
  <si>
    <t>N4</t>
  </si>
  <si>
    <t>N5</t>
  </si>
  <si>
    <t>O</t>
  </si>
  <si>
    <t>P</t>
  </si>
  <si>
    <t>Q</t>
  </si>
  <si>
    <t>Con cremona</t>
  </si>
  <si>
    <t>Sin cremona</t>
  </si>
  <si>
    <t>Hoja Pasiva</t>
  </si>
  <si>
    <t>Vintage 1 hoja</t>
  </si>
  <si>
    <t>Vintage 2 hojas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</si>
</sst>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b/>
      <sz val="11"/>
      <color rgb="FFFFFFFF"/>
      <name val="Calibri"/>
      <family val="2"/>
      <charset val="238"/>
      <scheme val="minor"/>
    </font>
    <font>
      <sz val="11"/>
      <color rgb="FF0000FF"/>
      <name val="Calibri"/>
      <family val="2"/>
      <charset val="238"/>
      <scheme val="minor"/>
    </font>
    <font>
      <i/>
      <sz val="11"/>
      <color rgb="FF80808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0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2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1" fillId="0" borderId="2" xfId="0" applyFont="1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2" fillId="0" borderId="0" xfId="0" applyFont="1"/>
    <xf numFmtId="0" fontId="10" fillId="4" borderId="2" xfId="0" applyFont="1" applyFill="1" applyBorder="1" applyAlignment="1">
      <alignment horizontal="center"/>
    </xf>
    <xf numFmtId="0" fontId="0" fillId="0" borderId="2" xfId="0" applyBorder="1"/>
    <xf numFmtId="1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0" fillId="5" borderId="3" xfId="0" applyFill="1" applyBorder="1"/>
    <xf numFmtId="0" fontId="0" fillId="0" borderId="3" xfId="0" applyBorder="1"/>
    <xf numFmtId="0" fontId="14" fillId="0" borderId="4" xfId="0" applyFont="1" applyBorder="1" applyAlignment="1">
      <alignment horizontal="left"/>
    </xf>
    <xf numFmtId="4" fontId="14" fillId="0" borderId="4" xfId="0" applyNumberFormat="1" applyFont="1" applyBorder="1" applyAlignment="1">
      <alignment horizontal="right"/>
    </xf>
    <xf numFmtId="0" fontId="15" fillId="0" borderId="4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0" fillId="0" borderId="0" xfId="0" applyNumberForma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A928E90-EBB9-4698-9D8B-F575B3E70F7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1c06397-e3ff-4074-be99-ceb889867d09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E809-C1D9-49BF-B5F5-8C670B672868}">
  <dimension ref="A2:Q103"/>
  <sheetViews>
    <sheetView tabSelected="1" topLeftCell="A4" workbookViewId="0">
      <selection activeCell="E23" sqref="E23"/>
    </sheetView>
  </sheetViews>
  <sheetFormatPr baseColWidth="10" defaultRowHeight="15" x14ac:dyDescent="0.25"/>
  <cols>
    <col min="1" max="1" width="21.42578125" bestFit="1" customWidth="1"/>
    <col min="2" max="2" width="14.85546875" bestFit="1" customWidth="1"/>
    <col min="6" max="6" width="14" customWidth="1"/>
    <col min="7" max="7" width="12.42578125" customWidth="1"/>
    <col min="8" max="8" width="13.7109375" customWidth="1"/>
  </cols>
  <sheetData>
    <row r="2" spans="1:17" x14ac:dyDescent="0.25">
      <c r="A2" t="s">
        <v>101</v>
      </c>
      <c r="B2">
        <v>30</v>
      </c>
    </row>
    <row r="4" spans="1:17" x14ac:dyDescent="0.25">
      <c r="P4">
        <v>25.4</v>
      </c>
    </row>
    <row r="5" spans="1:17" x14ac:dyDescent="0.25">
      <c r="A5" s="7" t="s">
        <v>111</v>
      </c>
      <c r="B5" s="8" t="s">
        <v>96</v>
      </c>
      <c r="C5" s="8" t="s">
        <v>100</v>
      </c>
      <c r="D5" s="8" t="s">
        <v>99</v>
      </c>
      <c r="E5" s="8" t="s">
        <v>98</v>
      </c>
      <c r="F5" s="8" t="s">
        <v>102</v>
      </c>
      <c r="G5" s="8" t="s">
        <v>103</v>
      </c>
      <c r="H5" s="8" t="s">
        <v>104</v>
      </c>
      <c r="J5" s="8" t="s">
        <v>112</v>
      </c>
      <c r="L5" s="8" t="s">
        <v>122</v>
      </c>
    </row>
    <row r="6" spans="1:17" x14ac:dyDescent="0.25">
      <c r="A6" s="7" t="s">
        <v>87</v>
      </c>
      <c r="B6" t="s">
        <v>97</v>
      </c>
      <c r="C6" s="29">
        <f>O6</f>
        <v>80.009999999999991</v>
      </c>
      <c r="F6">
        <f>+C6+$B$2</f>
        <v>110.00999999999999</v>
      </c>
      <c r="G6">
        <f>+D6+$B$2</f>
        <v>30</v>
      </c>
      <c r="H6">
        <f>+E6+$B$2</f>
        <v>30</v>
      </c>
      <c r="J6" t="str">
        <f>IF($A6="","",IF(COUNTIF($A$6:$A$103,$A6)&gt;1,$A6&amp;" - "&amp;$B6,$A6))</f>
        <v>Picture Window</v>
      </c>
      <c r="L6" t="str" cm="1">
        <f t="array" ref="L6:L23">IFERROR(_xlfn._xlws.FILTER($J$6:$J$103,$J$6:$J$103&lt;&gt;""),"")</f>
        <v>Picture Window</v>
      </c>
      <c r="O6" s="29">
        <f>3.15*$P$4</f>
        <v>80.009999999999991</v>
      </c>
    </row>
    <row r="7" spans="1:17" x14ac:dyDescent="0.25">
      <c r="A7" s="7" t="s">
        <v>90</v>
      </c>
      <c r="B7" t="s">
        <v>97</v>
      </c>
      <c r="C7" s="29">
        <f t="shared" ref="C7:C12" si="0">O7</f>
        <v>92.456000000000003</v>
      </c>
      <c r="F7">
        <f>+C7+$B$2</f>
        <v>122.456</v>
      </c>
      <c r="G7">
        <f t="shared" ref="G7:G13" si="1">+D7+$B$2</f>
        <v>30</v>
      </c>
      <c r="H7">
        <f t="shared" ref="H7:H13" si="2">+E7+$B$2</f>
        <v>30</v>
      </c>
      <c r="J7" t="str">
        <f>IF($A7="","",IF(COUNTIF($A$6:$A$103,$A7)&gt;1,$A7&amp;" - "&amp;$B7,$A7))</f>
        <v>Dream Window</v>
      </c>
      <c r="L7" t="str">
        <v>Dream Window</v>
      </c>
      <c r="O7" s="29">
        <f>3.64*$P$4</f>
        <v>92.456000000000003</v>
      </c>
    </row>
    <row r="8" spans="1:17" x14ac:dyDescent="0.25">
      <c r="A8" s="7" t="s">
        <v>89</v>
      </c>
      <c r="B8" t="s">
        <v>97</v>
      </c>
      <c r="C8" s="29">
        <f t="shared" si="0"/>
        <v>109.21999999999998</v>
      </c>
      <c r="F8">
        <f t="shared" ref="F8:F16" si="3">+C8+$B$2</f>
        <v>139.21999999999997</v>
      </c>
      <c r="G8">
        <f t="shared" si="1"/>
        <v>30</v>
      </c>
      <c r="H8">
        <f t="shared" si="2"/>
        <v>30</v>
      </c>
      <c r="J8" t="str">
        <f>IF($A8="","",IF(COUNTIF($A$6:$A$103,$A8)&gt;1,$A8&amp;" - "&amp;$B8,$A8))</f>
        <v>Casement out KA</v>
      </c>
      <c r="L8" t="str">
        <v>Casement out KA</v>
      </c>
      <c r="O8" s="29">
        <f>4.3*$P$4</f>
        <v>109.21999999999998</v>
      </c>
    </row>
    <row r="9" spans="1:17" x14ac:dyDescent="0.25">
      <c r="A9" s="7" t="s">
        <v>91</v>
      </c>
      <c r="B9" t="s">
        <v>97</v>
      </c>
      <c r="C9" s="29">
        <f t="shared" si="0"/>
        <v>150.36799999999999</v>
      </c>
      <c r="F9">
        <f t="shared" si="3"/>
        <v>180.36799999999999</v>
      </c>
      <c r="G9">
        <f t="shared" si="1"/>
        <v>30</v>
      </c>
      <c r="H9">
        <f t="shared" si="2"/>
        <v>30</v>
      </c>
      <c r="J9" t="str">
        <f>IF($A9="","",IF(COUNTIF($A$6:$A$103,$A9)&gt;1,$A9&amp;" - "&amp;$B9,$A9))</f>
        <v>Tilt &amp; Turn</v>
      </c>
      <c r="L9" t="str">
        <v>Tilt &amp; Turn</v>
      </c>
      <c r="N9" t="s">
        <v>164</v>
      </c>
      <c r="O9" s="29">
        <f>5.92*$P$4</f>
        <v>150.36799999999999</v>
      </c>
      <c r="P9" t="s">
        <v>165</v>
      </c>
      <c r="Q9">
        <f>4.03*$P$4</f>
        <v>102.36199999999999</v>
      </c>
    </row>
    <row r="10" spans="1:17" x14ac:dyDescent="0.25">
      <c r="A10" s="7" t="s">
        <v>88</v>
      </c>
      <c r="B10" t="s">
        <v>97</v>
      </c>
      <c r="C10" s="29">
        <f t="shared" si="0"/>
        <v>77.724000000000004</v>
      </c>
      <c r="F10">
        <f t="shared" si="3"/>
        <v>107.724</v>
      </c>
      <c r="G10">
        <f t="shared" si="1"/>
        <v>30</v>
      </c>
      <c r="H10">
        <f t="shared" si="2"/>
        <v>30</v>
      </c>
      <c r="J10" t="str">
        <f>IF($A10="","",IF(COUNTIF($A$6:$A$103,$A10)&gt;1,$A10&amp;" - "&amp;$B10,$A10))</f>
        <v>Horizonal Roller</v>
      </c>
      <c r="L10" t="str">
        <v>Horizonal Roller</v>
      </c>
      <c r="O10" s="29">
        <f>3.06*$P$4</f>
        <v>77.724000000000004</v>
      </c>
    </row>
    <row r="11" spans="1:17" x14ac:dyDescent="0.25">
      <c r="A11" s="7" t="s">
        <v>92</v>
      </c>
      <c r="B11" t="s">
        <v>97</v>
      </c>
      <c r="C11" s="29">
        <f t="shared" si="0"/>
        <v>75.183999999999997</v>
      </c>
      <c r="F11">
        <f t="shared" si="3"/>
        <v>105.184</v>
      </c>
      <c r="G11">
        <f t="shared" si="1"/>
        <v>30</v>
      </c>
      <c r="H11">
        <f t="shared" si="2"/>
        <v>30</v>
      </c>
      <c r="J11" t="str">
        <f>IF($A11="","",IF(COUNTIF($A$6:$A$103,$A11)&gt;1,$A11&amp;" - "&amp;$B11,$A11))</f>
        <v>Single Hung</v>
      </c>
      <c r="L11" t="str">
        <v>Single Hung</v>
      </c>
      <c r="O11" s="29">
        <f>2.96*$P$4</f>
        <v>75.183999999999997</v>
      </c>
    </row>
    <row r="12" spans="1:17" x14ac:dyDescent="0.25">
      <c r="A12" s="7" t="s">
        <v>94</v>
      </c>
      <c r="B12" t="s">
        <v>97</v>
      </c>
      <c r="C12" s="29">
        <f t="shared" si="0"/>
        <v>155.19399999999999</v>
      </c>
      <c r="F12">
        <f t="shared" si="3"/>
        <v>185.19399999999999</v>
      </c>
      <c r="G12">
        <f t="shared" si="1"/>
        <v>30</v>
      </c>
      <c r="H12">
        <f t="shared" si="2"/>
        <v>30</v>
      </c>
      <c r="J12" t="str">
        <f>IF($A12="","",IF(COUNTIF($A$6:$A$103,$A12)&gt;1,$A12&amp;" - "&amp;$B12,$A12))</f>
        <v>Window Wall</v>
      </c>
      <c r="L12" t="str">
        <v>Window Wall</v>
      </c>
      <c r="O12" s="29">
        <f>6.11*$P$4</f>
        <v>155.19399999999999</v>
      </c>
    </row>
    <row r="13" spans="1:17" x14ac:dyDescent="0.25">
      <c r="A13" s="7" t="s">
        <v>95</v>
      </c>
      <c r="B13" t="s">
        <v>97</v>
      </c>
      <c r="C13" s="29">
        <f>O13</f>
        <v>127.0254</v>
      </c>
      <c r="F13">
        <f t="shared" si="3"/>
        <v>157.02539999999999</v>
      </c>
      <c r="G13">
        <f t="shared" si="1"/>
        <v>30</v>
      </c>
      <c r="H13">
        <f t="shared" si="2"/>
        <v>30</v>
      </c>
      <c r="J13" t="str">
        <f>IF($A13="","",IF(COUNTIF($A$6:$A$103,$A13)&gt;1,$A13&amp;" - "&amp;$B13,$A13))</f>
        <v>Store Fornt</v>
      </c>
      <c r="L13" t="str">
        <v>Store Fornt</v>
      </c>
      <c r="O13" s="29">
        <f>5.001*$P$4</f>
        <v>127.0254</v>
      </c>
    </row>
    <row r="14" spans="1:17" x14ac:dyDescent="0.25">
      <c r="A14" s="8" t="s">
        <v>93</v>
      </c>
      <c r="B14" t="s">
        <v>106</v>
      </c>
      <c r="C14" s="29">
        <f>O14</f>
        <v>94.995999999999995</v>
      </c>
      <c r="F14">
        <f t="shared" si="3"/>
        <v>124.996</v>
      </c>
      <c r="G14">
        <f t="shared" ref="G14:G16" si="4">+D14+$B$2</f>
        <v>30</v>
      </c>
      <c r="H14">
        <f t="shared" ref="H14:H16" si="5">+E14+$B$2</f>
        <v>30</v>
      </c>
      <c r="J14" t="str">
        <f>IF($A14="","",IF(COUNTIF($A$6:$A$103,$A14)&gt;1,$A14&amp;" - "&amp;$B14,$A14))</f>
        <v>Sliding glass - Hoja fija</v>
      </c>
      <c r="L14" t="str">
        <v>Sliding glass - Hoja fija</v>
      </c>
      <c r="O14" s="29">
        <f>3.74*$P$4</f>
        <v>94.995999999999995</v>
      </c>
    </row>
    <row r="15" spans="1:17" x14ac:dyDescent="0.25">
      <c r="A15" s="8" t="s">
        <v>93</v>
      </c>
      <c r="B15" t="s">
        <v>107</v>
      </c>
      <c r="C15" s="29">
        <f t="shared" ref="C15:C20" si="6">O15</f>
        <v>152.14599999999999</v>
      </c>
      <c r="F15">
        <f t="shared" si="3"/>
        <v>182.14599999999999</v>
      </c>
      <c r="G15">
        <f t="shared" si="4"/>
        <v>30</v>
      </c>
      <c r="H15">
        <f t="shared" si="5"/>
        <v>30</v>
      </c>
      <c r="J15" t="str">
        <f>IF($A15="","",IF(COUNTIF($A$6:$A$103,$A15)&gt;1,$A15&amp;" - "&amp;$B15,$A15))</f>
        <v>Sliding glass - Hoja Activa</v>
      </c>
      <c r="L15" t="str">
        <v>Sliding glass - Hoja Activa</v>
      </c>
      <c r="O15" s="29">
        <f>5.99*$P$4</f>
        <v>152.14599999999999</v>
      </c>
    </row>
    <row r="16" spans="1:17" x14ac:dyDescent="0.25">
      <c r="A16" s="8" t="s">
        <v>93</v>
      </c>
      <c r="B16" t="s">
        <v>108</v>
      </c>
      <c r="C16" s="29">
        <f t="shared" si="6"/>
        <v>94.995999999999995</v>
      </c>
      <c r="F16">
        <f t="shared" si="3"/>
        <v>124.996</v>
      </c>
      <c r="G16">
        <f t="shared" si="4"/>
        <v>30</v>
      </c>
      <c r="H16">
        <f t="shared" si="5"/>
        <v>30</v>
      </c>
      <c r="J16" t="str">
        <f>IF($A16="","",IF(COUNTIF($A$6:$A$103,$A16)&gt;1,$A16&amp;" - "&amp;$B16,$A16))</f>
        <v>Sliding glass - Hoja que recibe</v>
      </c>
      <c r="L16" t="str">
        <v>Sliding glass - Hoja que recibe</v>
      </c>
      <c r="O16" s="29">
        <f>3.74*$P$4</f>
        <v>94.995999999999995</v>
      </c>
    </row>
    <row r="17" spans="1:15" x14ac:dyDescent="0.25">
      <c r="A17" s="7" t="s">
        <v>109</v>
      </c>
      <c r="B17" t="s">
        <v>97</v>
      </c>
      <c r="C17" s="29">
        <f t="shared" si="6"/>
        <v>90.932000000000002</v>
      </c>
      <c r="F17">
        <f>+C17+$B$2</f>
        <v>120.932</v>
      </c>
      <c r="G17">
        <f>+D17+$B$2</f>
        <v>30</v>
      </c>
      <c r="H17">
        <f>+E17+$B$2</f>
        <v>30</v>
      </c>
      <c r="J17" t="str">
        <f>IF($A17="","",IF(COUNTIF($A$6:$A$103,$A17)&gt;1,$A17&amp;" - "&amp;$B17,$A17))</f>
        <v>French Door KA 1 hoja</v>
      </c>
      <c r="L17" t="str">
        <v>French Door KA 1 hoja</v>
      </c>
      <c r="O17" s="29">
        <f>3.58*$P$4</f>
        <v>90.932000000000002</v>
      </c>
    </row>
    <row r="18" spans="1:15" x14ac:dyDescent="0.25">
      <c r="A18" s="7" t="s">
        <v>110</v>
      </c>
      <c r="B18" t="s">
        <v>97</v>
      </c>
      <c r="C18" s="29">
        <f t="shared" si="6"/>
        <v>90.932000000000002</v>
      </c>
      <c r="F18">
        <f t="shared" ref="F18:F20" si="7">+C18+$B$2</f>
        <v>120.932</v>
      </c>
      <c r="G18">
        <f t="shared" ref="G18:G20" si="8">+D18+$B$2</f>
        <v>30</v>
      </c>
      <c r="H18">
        <f t="shared" ref="H18:H20" si="9">+E18+$B$2</f>
        <v>30</v>
      </c>
      <c r="J18" t="str">
        <f>IF($A18="","",IF(COUNTIF($A$6:$A$103,$A18)&gt;1,$A18&amp;" - "&amp;$B18,$A18))</f>
        <v>French Door KA 2 hojas - Marco</v>
      </c>
      <c r="L18" t="str">
        <v>French Door KA 2 hojas - Marco</v>
      </c>
      <c r="O18" s="29">
        <f>3.58*$P$4</f>
        <v>90.932000000000002</v>
      </c>
    </row>
    <row r="19" spans="1:15" x14ac:dyDescent="0.25">
      <c r="A19" s="7" t="s">
        <v>110</v>
      </c>
      <c r="B19" t="s">
        <v>166</v>
      </c>
      <c r="C19" s="29">
        <f t="shared" si="6"/>
        <v>90.932000000000002</v>
      </c>
      <c r="F19">
        <f t="shared" si="7"/>
        <v>120.932</v>
      </c>
      <c r="G19">
        <f t="shared" si="8"/>
        <v>30</v>
      </c>
      <c r="H19">
        <f t="shared" si="9"/>
        <v>30</v>
      </c>
      <c r="J19" t="str">
        <f>IF($A19="","",IF(COUNTIF($A$6:$A$103,$A19)&gt;1,$A19&amp;" - "&amp;$B19,$A19))</f>
        <v>French Door KA 2 hojas - Hoja Pasiva</v>
      </c>
      <c r="L19" t="str">
        <v>French Door KA 2 hojas - Hoja Pasiva</v>
      </c>
      <c r="O19" s="29">
        <f>3.58*$P$4</f>
        <v>90.932000000000002</v>
      </c>
    </row>
    <row r="20" spans="1:15" x14ac:dyDescent="0.25">
      <c r="A20" s="30" t="s">
        <v>167</v>
      </c>
      <c r="B20" t="s">
        <v>97</v>
      </c>
      <c r="C20" s="29">
        <f t="shared" si="6"/>
        <v>155.44800000000001</v>
      </c>
      <c r="F20">
        <f t="shared" si="7"/>
        <v>185.44800000000001</v>
      </c>
      <c r="G20">
        <f t="shared" si="8"/>
        <v>30</v>
      </c>
      <c r="H20">
        <f t="shared" si="9"/>
        <v>30</v>
      </c>
      <c r="J20" t="str">
        <f>IF($A20="","",IF(COUNTIF($A$6:$A$103,$A20)&gt;1,$A20&amp;" - "&amp;$B20,$A20))</f>
        <v>Vintage 1 hoja</v>
      </c>
      <c r="L20" t="str">
        <v>Vintage 1 hoja</v>
      </c>
      <c r="O20" s="29">
        <f>6.12*$P$4</f>
        <v>155.44800000000001</v>
      </c>
    </row>
    <row r="21" spans="1:15" x14ac:dyDescent="0.25">
      <c r="A21" s="30" t="s">
        <v>168</v>
      </c>
      <c r="B21" t="s">
        <v>97</v>
      </c>
      <c r="C21" s="29">
        <f t="shared" ref="C21" si="10">O21</f>
        <v>155.44800000000001</v>
      </c>
      <c r="F21">
        <f t="shared" ref="F21" si="11">+C21+$B$2</f>
        <v>185.44800000000001</v>
      </c>
      <c r="G21">
        <f t="shared" ref="G21" si="12">+D21+$B$2</f>
        <v>30</v>
      </c>
      <c r="H21">
        <f t="shared" ref="H21" si="13">+E21+$B$2</f>
        <v>30</v>
      </c>
      <c r="J21" t="str">
        <f>IF($A21="","",IF(COUNTIF($A$6:$A$103,$A21)&gt;1,$A21&amp;" - "&amp;$B21,$A21))</f>
        <v>Vintage 2 hojas - Marco</v>
      </c>
      <c r="L21" t="str">
        <v>Vintage 2 hojas - Marco</v>
      </c>
      <c r="O21" s="29">
        <f>6.12*$P$4</f>
        <v>155.44800000000001</v>
      </c>
    </row>
    <row r="22" spans="1:15" x14ac:dyDescent="0.25">
      <c r="A22" s="30" t="s">
        <v>168</v>
      </c>
      <c r="B22" t="s">
        <v>166</v>
      </c>
      <c r="C22" s="29">
        <f t="shared" ref="C22" si="14">O22</f>
        <v>160.01999999999998</v>
      </c>
      <c r="F22">
        <f t="shared" ref="F22" si="15">+C22+$B$2</f>
        <v>190.01999999999998</v>
      </c>
      <c r="G22">
        <f t="shared" ref="G22" si="16">+D22+$B$2</f>
        <v>30</v>
      </c>
      <c r="H22">
        <f t="shared" ref="H22" si="17">+E22+$B$2</f>
        <v>30</v>
      </c>
      <c r="J22" t="str">
        <f>IF($A22="","",IF(COUNTIF($A$6:$A$103,$A22)&gt;1,$A22&amp;" - "&amp;$B22,$A22))</f>
        <v>Vintage 2 hojas - Hoja Pasiva</v>
      </c>
      <c r="L22" t="str">
        <v>Vintage 2 hojas - Hoja Pasiva</v>
      </c>
      <c r="O22" s="29">
        <f>6.3*$P$4</f>
        <v>160.01999999999998</v>
      </c>
    </row>
    <row r="23" spans="1:15" x14ac:dyDescent="0.25">
      <c r="A23" s="7" t="s">
        <v>121</v>
      </c>
      <c r="B23" t="s">
        <v>120</v>
      </c>
      <c r="J23" t="str">
        <f>IF($A23="","",IF(COUNTIF($A$6:$A$103,$A23)&gt;1,$A23&amp;" - "&amp;$B23,$A23))</f>
        <v>Otro</v>
      </c>
      <c r="L23" t="str">
        <v>Otro</v>
      </c>
    </row>
    <row r="24" spans="1:15" x14ac:dyDescent="0.25">
      <c r="C24" t="s">
        <v>105</v>
      </c>
      <c r="J24" t="str">
        <f>IF($A24="","",IF(COUNTIF($A$6:$A$103,$A24)&gt;1,$A24&amp;" - "&amp;$B24,$A24))</f>
        <v/>
      </c>
    </row>
    <row r="25" spans="1:15" x14ac:dyDescent="0.25">
      <c r="J25" t="str">
        <f>IF($A25="","",IF(COUNTIF($A$6:$A$103,$A25)&gt;1,$A25&amp;" - "&amp;$B25,$A25))</f>
        <v/>
      </c>
    </row>
    <row r="26" spans="1:15" x14ac:dyDescent="0.25">
      <c r="J26" t="str">
        <f>IF($A26="","",IF(COUNTIF($A$6:$A$103,$A26)&gt;1,$A26&amp;" - "&amp;$B26,$A26))</f>
        <v/>
      </c>
    </row>
    <row r="27" spans="1:15" x14ac:dyDescent="0.25">
      <c r="J27" t="str">
        <f>IF($A27="","",IF(COUNTIF($A$6:$A$103,$A27)&gt;1,$A27&amp;" - "&amp;$B27,$A27))</f>
        <v/>
      </c>
    </row>
    <row r="28" spans="1:15" x14ac:dyDescent="0.25">
      <c r="J28" t="str">
        <f>IF($A28="","",IF(COUNTIF($A$6:$A$103,$A28)&gt;1,$A28&amp;" - "&amp;$B28,$A28))</f>
        <v/>
      </c>
    </row>
    <row r="29" spans="1:15" x14ac:dyDescent="0.25">
      <c r="J29" t="str">
        <f>IF($A29="","",IF(COUNTIF($A$6:$A$103,$A29)&gt;1,$A29&amp;" - "&amp;$B29,$A29))</f>
        <v/>
      </c>
    </row>
    <row r="30" spans="1:15" x14ac:dyDescent="0.25">
      <c r="J30" t="str">
        <f>IF($A30="","",IF(COUNTIF($A$6:$A$103,$A30)&gt;1,$A30&amp;" - "&amp;$B30,$A30))</f>
        <v/>
      </c>
    </row>
    <row r="31" spans="1:15" x14ac:dyDescent="0.25">
      <c r="J31" t="str">
        <f>IF($A31="","",IF(COUNTIF($A$6:$A$103,$A31)&gt;1,$A31&amp;" - "&amp;$B31,$A31))</f>
        <v/>
      </c>
    </row>
    <row r="32" spans="1:15" x14ac:dyDescent="0.25">
      <c r="J32" t="str">
        <f>IF($A32="","",IF(COUNTIF($A$6:$A$103,$A32)&gt;1,$A32&amp;" - "&amp;$B32,$A32))</f>
        <v/>
      </c>
    </row>
    <row r="33" spans="10:10" x14ac:dyDescent="0.25">
      <c r="J33" t="str">
        <f>IF($A33="","",IF(COUNTIF($A$6:$A$103,$A33)&gt;1,$A33&amp;" - "&amp;$B33,$A33))</f>
        <v/>
      </c>
    </row>
    <row r="34" spans="10:10" x14ac:dyDescent="0.25">
      <c r="J34" t="str">
        <f>IF($A34="","",IF(COUNTIF($A$6:$A$103,$A34)&gt;1,$A34&amp;" - "&amp;$B34,$A34))</f>
        <v/>
      </c>
    </row>
    <row r="35" spans="10:10" x14ac:dyDescent="0.25">
      <c r="J35" t="str">
        <f>IF($A35="","",IF(COUNTIF($A$6:$A$103,$A35)&gt;1,$A35&amp;" - "&amp;$B35,$A35))</f>
        <v/>
      </c>
    </row>
    <row r="36" spans="10:10" x14ac:dyDescent="0.25">
      <c r="J36" t="str">
        <f>IF($A36="","",IF(COUNTIF($A$6:$A$103,$A36)&gt;1,$A36&amp;" - "&amp;$B36,$A36))</f>
        <v/>
      </c>
    </row>
    <row r="37" spans="10:10" x14ac:dyDescent="0.25">
      <c r="J37" t="str">
        <f>IF($A37="","",IF(COUNTIF($A$6:$A$103,$A37)&gt;1,$A37&amp;" - "&amp;$B37,$A37))</f>
        <v/>
      </c>
    </row>
    <row r="38" spans="10:10" x14ac:dyDescent="0.25">
      <c r="J38" t="str">
        <f>IF($A38="","",IF(COUNTIF($A$6:$A$103,$A38)&gt;1,$A38&amp;" - "&amp;$B38,$A38))</f>
        <v/>
      </c>
    </row>
    <row r="39" spans="10:10" x14ac:dyDescent="0.25">
      <c r="J39" t="str">
        <f>IF($A39="","",IF(COUNTIF($A$6:$A$103,$A39)&gt;1,$A39&amp;" - "&amp;$B39,$A39))</f>
        <v/>
      </c>
    </row>
    <row r="40" spans="10:10" x14ac:dyDescent="0.25">
      <c r="J40" t="str">
        <f>IF($A40="","",IF(COUNTIF($A$6:$A$103,$A40)&gt;1,$A40&amp;" - "&amp;$B40,$A40))</f>
        <v/>
      </c>
    </row>
    <row r="41" spans="10:10" x14ac:dyDescent="0.25">
      <c r="J41" t="str">
        <f>IF($A41="","",IF(COUNTIF($A$6:$A$103,$A41)&gt;1,$A41&amp;" - "&amp;$B41,$A41))</f>
        <v/>
      </c>
    </row>
    <row r="42" spans="10:10" x14ac:dyDescent="0.25">
      <c r="J42" t="str">
        <f>IF($A42="","",IF(COUNTIF($A$6:$A$103,$A42)&gt;1,$A42&amp;" - "&amp;$B42,$A42))</f>
        <v/>
      </c>
    </row>
    <row r="43" spans="10:10" x14ac:dyDescent="0.25">
      <c r="J43" t="str">
        <f>IF($A43="","",IF(COUNTIF($A$6:$A$103,$A43)&gt;1,$A43&amp;" - "&amp;$B43,$A43))</f>
        <v/>
      </c>
    </row>
    <row r="44" spans="10:10" x14ac:dyDescent="0.25">
      <c r="J44" t="str">
        <f>IF($A44="","",IF(COUNTIF($A$6:$A$103,$A44)&gt;1,$A44&amp;" - "&amp;$B44,$A44))</f>
        <v/>
      </c>
    </row>
    <row r="45" spans="10:10" x14ac:dyDescent="0.25">
      <c r="J45" t="str">
        <f>IF($A45="","",IF(COUNTIF($A$6:$A$103,$A45)&gt;1,$A45&amp;" - "&amp;$B45,$A45))</f>
        <v/>
      </c>
    </row>
    <row r="46" spans="10:10" x14ac:dyDescent="0.25">
      <c r="J46" t="str">
        <f>IF($A46="","",IF(COUNTIF($A$6:$A$103,$A46)&gt;1,$A46&amp;" - "&amp;$B46,$A46))</f>
        <v/>
      </c>
    </row>
    <row r="47" spans="10:10" x14ac:dyDescent="0.25">
      <c r="J47" t="str">
        <f>IF($A47="","",IF(COUNTIF($A$6:$A$103,$A47)&gt;1,$A47&amp;" - "&amp;$B47,$A47))</f>
        <v/>
      </c>
    </row>
    <row r="48" spans="10:10" x14ac:dyDescent="0.25">
      <c r="J48" t="str">
        <f>IF($A48="","",IF(COUNTIF($A$6:$A$103,$A48)&gt;1,$A48&amp;" - "&amp;$B48,$A48))</f>
        <v/>
      </c>
    </row>
    <row r="49" spans="10:10" x14ac:dyDescent="0.25">
      <c r="J49" t="str">
        <f>IF($A49="","",IF(COUNTIF($A$6:$A$103,$A49)&gt;1,$A49&amp;" - "&amp;$B49,$A49))</f>
        <v/>
      </c>
    </row>
    <row r="50" spans="10:10" x14ac:dyDescent="0.25">
      <c r="J50" t="str">
        <f>IF($A50="","",IF(COUNTIF($A$6:$A$103,$A50)&gt;1,$A50&amp;" - "&amp;$B50,$A50))</f>
        <v/>
      </c>
    </row>
    <row r="51" spans="10:10" x14ac:dyDescent="0.25">
      <c r="J51" t="str">
        <f>IF($A51="","",IF(COUNTIF($A$6:$A$103,$A51)&gt;1,$A51&amp;" - "&amp;$B51,$A51))</f>
        <v/>
      </c>
    </row>
    <row r="52" spans="10:10" x14ac:dyDescent="0.25">
      <c r="J52" t="str">
        <f>IF($A52="","",IF(COUNTIF($A$6:$A$103,$A52)&gt;1,$A52&amp;" - "&amp;$B52,$A52))</f>
        <v/>
      </c>
    </row>
    <row r="53" spans="10:10" x14ac:dyDescent="0.25">
      <c r="J53" t="str">
        <f>IF($A53="","",IF(COUNTIF($A$6:$A$103,$A53)&gt;1,$A53&amp;" - "&amp;$B53,$A53))</f>
        <v/>
      </c>
    </row>
    <row r="54" spans="10:10" x14ac:dyDescent="0.25">
      <c r="J54" t="str">
        <f>IF($A54="","",IF(COUNTIF($A$6:$A$103,$A54)&gt;1,$A54&amp;" - "&amp;$B54,$A54))</f>
        <v/>
      </c>
    </row>
    <row r="55" spans="10:10" x14ac:dyDescent="0.25">
      <c r="J55" t="str">
        <f>IF($A55="","",IF(COUNTIF($A$6:$A$103,$A55)&gt;1,$A55&amp;" - "&amp;$B55,$A55))</f>
        <v/>
      </c>
    </row>
    <row r="56" spans="10:10" x14ac:dyDescent="0.25">
      <c r="J56" t="str">
        <f>IF($A56="","",IF(COUNTIF($A$6:$A$103,$A56)&gt;1,$A56&amp;" - "&amp;$B56,$A56))</f>
        <v/>
      </c>
    </row>
    <row r="57" spans="10:10" x14ac:dyDescent="0.25">
      <c r="J57" t="str">
        <f>IF($A57="","",IF(COUNTIF($A$6:$A$103,$A57)&gt;1,$A57&amp;" - "&amp;$B57,$A57))</f>
        <v/>
      </c>
    </row>
    <row r="58" spans="10:10" x14ac:dyDescent="0.25">
      <c r="J58" t="str">
        <f>IF($A58="","",IF(COUNTIF($A$6:$A$103,$A58)&gt;1,$A58&amp;" - "&amp;$B58,$A58))</f>
        <v/>
      </c>
    </row>
    <row r="59" spans="10:10" x14ac:dyDescent="0.25">
      <c r="J59" t="str">
        <f>IF($A59="","",IF(COUNTIF($A$6:$A$103,$A59)&gt;1,$A59&amp;" - "&amp;$B59,$A59))</f>
        <v/>
      </c>
    </row>
    <row r="60" spans="10:10" x14ac:dyDescent="0.25">
      <c r="J60" t="str">
        <f>IF($A60="","",IF(COUNTIF($A$6:$A$103,$A60)&gt;1,$A60&amp;" - "&amp;$B60,$A60))</f>
        <v/>
      </c>
    </row>
    <row r="61" spans="10:10" x14ac:dyDescent="0.25">
      <c r="J61" t="str">
        <f>IF($A61="","",IF(COUNTIF($A$6:$A$103,$A61)&gt;1,$A61&amp;" - "&amp;$B61,$A61))</f>
        <v/>
      </c>
    </row>
    <row r="62" spans="10:10" x14ac:dyDescent="0.25">
      <c r="J62" t="str">
        <f>IF($A62="","",IF(COUNTIF($A$6:$A$103,$A62)&gt;1,$A62&amp;" - "&amp;$B62,$A62))</f>
        <v/>
      </c>
    </row>
    <row r="63" spans="10:10" x14ac:dyDescent="0.25">
      <c r="J63" t="str">
        <f>IF($A63="","",IF(COUNTIF($A$6:$A$103,$A63)&gt;1,$A63&amp;" - "&amp;$B63,$A63))</f>
        <v/>
      </c>
    </row>
    <row r="64" spans="10:10" x14ac:dyDescent="0.25">
      <c r="J64" t="str">
        <f>IF($A64="","",IF(COUNTIF($A$6:$A$103,$A64)&gt;1,$A64&amp;" - "&amp;$B64,$A64))</f>
        <v/>
      </c>
    </row>
    <row r="65" spans="10:10" x14ac:dyDescent="0.25">
      <c r="J65" t="str">
        <f>IF($A65="","",IF(COUNTIF($A$6:$A$103,$A65)&gt;1,$A65&amp;" - "&amp;$B65,$A65))</f>
        <v/>
      </c>
    </row>
    <row r="66" spans="10:10" x14ac:dyDescent="0.25">
      <c r="J66" t="str">
        <f>IF($A66="","",IF(COUNTIF($A$6:$A$103,$A66)&gt;1,$A66&amp;" - "&amp;$B66,$A66))</f>
        <v/>
      </c>
    </row>
    <row r="67" spans="10:10" x14ac:dyDescent="0.25">
      <c r="J67" t="str">
        <f>IF($A67="","",IF(COUNTIF($A$6:$A$103,$A67)&gt;1,$A67&amp;" - "&amp;$B67,$A67))</f>
        <v/>
      </c>
    </row>
    <row r="68" spans="10:10" x14ac:dyDescent="0.25">
      <c r="J68" t="str">
        <f>IF($A68="","",IF(COUNTIF($A$6:$A$103,$A68)&gt;1,$A68&amp;" - "&amp;$B68,$A68))</f>
        <v/>
      </c>
    </row>
    <row r="69" spans="10:10" x14ac:dyDescent="0.25">
      <c r="J69" t="str">
        <f>IF($A69="","",IF(COUNTIF($A$6:$A$103,$A69)&gt;1,$A69&amp;" - "&amp;$B69,$A69))</f>
        <v/>
      </c>
    </row>
    <row r="70" spans="10:10" x14ac:dyDescent="0.25">
      <c r="J70" t="str">
        <f>IF($A70="","",IF(COUNTIF($A$6:$A$103,$A70)&gt;1,$A70&amp;" - "&amp;$B70,$A70))</f>
        <v/>
      </c>
    </row>
    <row r="71" spans="10:10" x14ac:dyDescent="0.25">
      <c r="J71" t="str">
        <f>IF($A71="","",IF(COUNTIF($A$6:$A$103,$A71)&gt;1,$A71&amp;" - "&amp;$B71,$A71))</f>
        <v/>
      </c>
    </row>
    <row r="72" spans="10:10" x14ac:dyDescent="0.25">
      <c r="J72" t="str">
        <f>IF($A72="","",IF(COUNTIF($A$6:$A$103,$A72)&gt;1,$A72&amp;" - "&amp;$B72,$A72))</f>
        <v/>
      </c>
    </row>
    <row r="73" spans="10:10" x14ac:dyDescent="0.25">
      <c r="J73" t="str">
        <f>IF($A73="","",IF(COUNTIF($A$6:$A$103,$A73)&gt;1,$A73&amp;" - "&amp;$B73,$A73))</f>
        <v/>
      </c>
    </row>
    <row r="74" spans="10:10" x14ac:dyDescent="0.25">
      <c r="J74" t="str">
        <f>IF($A74="","",IF(COUNTIF($A$6:$A$103,$A74)&gt;1,$A74&amp;" - "&amp;$B74,$A74))</f>
        <v/>
      </c>
    </row>
    <row r="75" spans="10:10" x14ac:dyDescent="0.25">
      <c r="J75" t="str">
        <f>IF($A75="","",IF(COUNTIF($A$6:$A$103,$A75)&gt;1,$A75&amp;" - "&amp;$B75,$A75))</f>
        <v/>
      </c>
    </row>
    <row r="76" spans="10:10" x14ac:dyDescent="0.25">
      <c r="J76" t="str">
        <f>IF($A76="","",IF(COUNTIF($A$6:$A$103,$A76)&gt;1,$A76&amp;" - "&amp;$B76,$A76))</f>
        <v/>
      </c>
    </row>
    <row r="77" spans="10:10" x14ac:dyDescent="0.25">
      <c r="J77" t="str">
        <f>IF($A77="","",IF(COUNTIF($A$6:$A$103,$A77)&gt;1,$A77&amp;" - "&amp;$B77,$A77))</f>
        <v/>
      </c>
    </row>
    <row r="78" spans="10:10" x14ac:dyDescent="0.25">
      <c r="J78" t="str">
        <f>IF($A78="","",IF(COUNTIF($A$6:$A$103,$A78)&gt;1,$A78&amp;" - "&amp;$B78,$A78))</f>
        <v/>
      </c>
    </row>
    <row r="79" spans="10:10" x14ac:dyDescent="0.25">
      <c r="J79" t="str">
        <f>IF($A79="","",IF(COUNTIF($A$6:$A$103,$A79)&gt;1,$A79&amp;" - "&amp;$B79,$A79))</f>
        <v/>
      </c>
    </row>
    <row r="80" spans="10:10" x14ac:dyDescent="0.25">
      <c r="J80" t="str">
        <f>IF($A80="","",IF(COUNTIF($A$6:$A$103,$A80)&gt;1,$A80&amp;" - "&amp;$B80,$A80))</f>
        <v/>
      </c>
    </row>
    <row r="81" spans="10:10" x14ac:dyDescent="0.25">
      <c r="J81" t="str">
        <f>IF($A81="","",IF(COUNTIF($A$6:$A$103,$A81)&gt;1,$A81&amp;" - "&amp;$B81,$A81))</f>
        <v/>
      </c>
    </row>
    <row r="82" spans="10:10" x14ac:dyDescent="0.25">
      <c r="J82" t="str">
        <f>IF($A82="","",IF(COUNTIF($A$6:$A$103,$A82)&gt;1,$A82&amp;" - "&amp;$B82,$A82))</f>
        <v/>
      </c>
    </row>
    <row r="83" spans="10:10" x14ac:dyDescent="0.25">
      <c r="J83" t="str">
        <f>IF($A83="","",IF(COUNTIF($A$6:$A$103,$A83)&gt;1,$A83&amp;" - "&amp;$B83,$A83))</f>
        <v/>
      </c>
    </row>
    <row r="84" spans="10:10" x14ac:dyDescent="0.25">
      <c r="J84" t="str">
        <f>IF($A84="","",IF(COUNTIF($A$6:$A$103,$A84)&gt;1,$A84&amp;" - "&amp;$B84,$A84))</f>
        <v/>
      </c>
    </row>
    <row r="85" spans="10:10" x14ac:dyDescent="0.25">
      <c r="J85" t="str">
        <f>IF($A85="","",IF(COUNTIF($A$6:$A$103,$A85)&gt;1,$A85&amp;" - "&amp;$B85,$A85))</f>
        <v/>
      </c>
    </row>
    <row r="86" spans="10:10" x14ac:dyDescent="0.25">
      <c r="J86" t="str">
        <f>IF($A86="","",IF(COUNTIF($A$6:$A$103,$A86)&gt;1,$A86&amp;" - "&amp;$B86,$A86))</f>
        <v/>
      </c>
    </row>
    <row r="87" spans="10:10" x14ac:dyDescent="0.25">
      <c r="J87" t="str">
        <f>IF($A87="","",IF(COUNTIF($A$6:$A$103,$A87)&gt;1,$A87&amp;" - "&amp;$B87,$A87))</f>
        <v/>
      </c>
    </row>
    <row r="88" spans="10:10" x14ac:dyDescent="0.25">
      <c r="J88" t="str">
        <f>IF($A88="","",IF(COUNTIF($A$6:$A$103,$A88)&gt;1,$A88&amp;" - "&amp;$B88,$A88))</f>
        <v/>
      </c>
    </row>
    <row r="89" spans="10:10" x14ac:dyDescent="0.25">
      <c r="J89" t="str">
        <f>IF($A89="","",IF(COUNTIF($A$6:$A$103,$A89)&gt;1,$A89&amp;" - "&amp;$B89,$A89))</f>
        <v/>
      </c>
    </row>
    <row r="90" spans="10:10" x14ac:dyDescent="0.25">
      <c r="J90" t="str">
        <f>IF($A90="","",IF(COUNTIF($A$6:$A$103,$A90)&gt;1,$A90&amp;" - "&amp;$B90,$A90))</f>
        <v/>
      </c>
    </row>
    <row r="91" spans="10:10" x14ac:dyDescent="0.25">
      <c r="J91" t="str">
        <f>IF($A91="","",IF(COUNTIF($A$6:$A$103,$A91)&gt;1,$A91&amp;" - "&amp;$B91,$A91))</f>
        <v/>
      </c>
    </row>
    <row r="92" spans="10:10" x14ac:dyDescent="0.25">
      <c r="J92" t="str">
        <f>IF($A92="","",IF(COUNTIF($A$6:$A$103,$A92)&gt;1,$A92&amp;" - "&amp;$B92,$A92))</f>
        <v/>
      </c>
    </row>
    <row r="93" spans="10:10" x14ac:dyDescent="0.25">
      <c r="J93" t="str">
        <f>IF($A93="","",IF(COUNTIF($A$6:$A$103,$A93)&gt;1,$A93&amp;" - "&amp;$B93,$A93))</f>
        <v/>
      </c>
    </row>
    <row r="94" spans="10:10" x14ac:dyDescent="0.25">
      <c r="J94" t="str">
        <f>IF($A94="","",IF(COUNTIF($A$6:$A$103,$A94)&gt;1,$A94&amp;" - "&amp;$B94,$A94))</f>
        <v/>
      </c>
    </row>
    <row r="95" spans="10:10" x14ac:dyDescent="0.25">
      <c r="J95" t="str">
        <f>IF($A95="","",IF(COUNTIF($A$6:$A$103,$A95)&gt;1,$A95&amp;" - "&amp;$B95,$A95))</f>
        <v/>
      </c>
    </row>
    <row r="96" spans="10:10" x14ac:dyDescent="0.25">
      <c r="J96" t="str">
        <f>IF($A96="","",IF(COUNTIF($A$6:$A$103,$A96)&gt;1,$A96&amp;" - "&amp;$B96,$A96))</f>
        <v/>
      </c>
    </row>
    <row r="97" spans="10:10" x14ac:dyDescent="0.25">
      <c r="J97" t="str">
        <f>IF($A97="","",IF(COUNTIF($A$6:$A$103,$A97)&gt;1,$A97&amp;" - "&amp;$B97,$A97))</f>
        <v/>
      </c>
    </row>
    <row r="98" spans="10:10" x14ac:dyDescent="0.25">
      <c r="J98" t="str">
        <f>IF($A98="","",IF(COUNTIF($A$6:$A$103,$A98)&gt;1,$A98&amp;" - "&amp;$B98,$A98))</f>
        <v/>
      </c>
    </row>
    <row r="99" spans="10:10" x14ac:dyDescent="0.25">
      <c r="J99" t="str">
        <f>IF($A99="","",IF(COUNTIF($A$6:$A$103,$A99)&gt;1,$A99&amp;" - "&amp;$B99,$A99))</f>
        <v/>
      </c>
    </row>
    <row r="100" spans="10:10" x14ac:dyDescent="0.25">
      <c r="J100" t="str">
        <f>IF($A100="","",IF(COUNTIF($A$6:$A$103,$A100)&gt;1,$A100&amp;" - "&amp;$B100,$A100))</f>
        <v/>
      </c>
    </row>
    <row r="101" spans="10:10" x14ac:dyDescent="0.25">
      <c r="J101" t="str">
        <f>IF($A101="","",IF(COUNTIF($A$6:$A$103,$A101)&gt;1,$A101&amp;" - "&amp;$B101,$A101))</f>
        <v/>
      </c>
    </row>
    <row r="102" spans="10:10" x14ac:dyDescent="0.25">
      <c r="J102" t="str">
        <f>IF($A102="","",IF(COUNTIF($A$6:$A$103,$A102)&gt;1,$A102&amp;" - "&amp;$B102,$A102))</f>
        <v/>
      </c>
    </row>
    <row r="103" spans="10:10" x14ac:dyDescent="0.25">
      <c r="J103" t="str">
        <f>IF($A103="","",IF(COUNTIF($A$6:$A$103,$A103)&gt;1,$A103&amp;" - "&amp;$B103,$A103))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6A181-50B4-4AE0-8D1E-25B593056288}">
  <dimension ref="A1:J97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34.28515625" bestFit="1" customWidth="1"/>
    <col min="2" max="2" width="34" customWidth="1"/>
    <col min="3" max="3" width="9" customWidth="1"/>
    <col min="4" max="6" width="9.28515625" customWidth="1"/>
    <col min="7" max="7" width="18" customWidth="1"/>
    <col min="8" max="10" width="11.85546875" customWidth="1"/>
    <col min="11" max="13" width="9.140625" customWidth="1"/>
  </cols>
  <sheetData>
    <row r="1" spans="1:10" ht="15.75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5.75" customHeight="1" x14ac:dyDescent="0.25">
      <c r="A2" s="26" t="s">
        <v>1</v>
      </c>
      <c r="B2" s="27" t="s">
        <v>2</v>
      </c>
      <c r="C2" s="27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6"/>
      <c r="B3" s="27"/>
      <c r="C3" s="27"/>
      <c r="D3" s="28" t="s">
        <v>11</v>
      </c>
      <c r="E3" s="28"/>
      <c r="F3" s="28"/>
      <c r="G3" s="3" t="s">
        <v>12</v>
      </c>
      <c r="H3" s="4" t="s">
        <v>13</v>
      </c>
      <c r="I3" s="4" t="s">
        <v>13</v>
      </c>
      <c r="J3" s="4" t="s">
        <v>13</v>
      </c>
    </row>
    <row r="4" spans="1:10" x14ac:dyDescent="0.25">
      <c r="A4" s="5" t="s">
        <v>15</v>
      </c>
      <c r="B4" s="5" t="s">
        <v>31</v>
      </c>
      <c r="C4" s="6">
        <v>1</v>
      </c>
      <c r="D4" s="6">
        <v>30</v>
      </c>
      <c r="E4" s="6">
        <v>88.72</v>
      </c>
      <c r="F4" s="6">
        <v>239.24998999999997</v>
      </c>
      <c r="G4" s="6">
        <v>10</v>
      </c>
      <c r="H4" s="5" t="s">
        <v>86</v>
      </c>
      <c r="I4" s="5" t="s">
        <v>86</v>
      </c>
      <c r="J4" s="5"/>
    </row>
    <row r="5" spans="1:10" x14ac:dyDescent="0.25">
      <c r="A5" s="5" t="s">
        <v>15</v>
      </c>
      <c r="B5" s="5" t="s">
        <v>28</v>
      </c>
      <c r="C5" s="6">
        <v>1</v>
      </c>
      <c r="D5" s="6">
        <v>30</v>
      </c>
      <c r="E5" s="6">
        <v>111.89749999999999</v>
      </c>
      <c r="F5" s="6">
        <v>298.94</v>
      </c>
      <c r="G5" s="6">
        <v>10</v>
      </c>
      <c r="H5" s="5"/>
      <c r="I5" s="5"/>
      <c r="J5" s="5"/>
    </row>
    <row r="6" spans="1:10" x14ac:dyDescent="0.25">
      <c r="A6" s="5" t="s">
        <v>15</v>
      </c>
      <c r="B6" s="5" t="s">
        <v>30</v>
      </c>
      <c r="C6" s="6">
        <v>1</v>
      </c>
      <c r="D6" s="6">
        <v>30</v>
      </c>
      <c r="E6" s="6">
        <v>111.89749999999999</v>
      </c>
      <c r="F6" s="6">
        <v>298.94</v>
      </c>
      <c r="G6" s="6">
        <v>10</v>
      </c>
      <c r="H6" s="5"/>
      <c r="I6" s="5"/>
      <c r="J6" s="5"/>
    </row>
    <row r="7" spans="1:10" x14ac:dyDescent="0.25">
      <c r="A7" s="5" t="s">
        <v>15</v>
      </c>
      <c r="B7" s="5" t="s">
        <v>32</v>
      </c>
      <c r="C7" s="6">
        <v>1</v>
      </c>
      <c r="D7" s="6">
        <v>30</v>
      </c>
      <c r="E7" s="6">
        <v>78.56</v>
      </c>
      <c r="F7" s="6">
        <v>239.24998999999997</v>
      </c>
      <c r="G7" s="6">
        <v>10</v>
      </c>
      <c r="H7" s="5"/>
      <c r="I7" s="5"/>
      <c r="J7" s="5"/>
    </row>
    <row r="8" spans="1:10" x14ac:dyDescent="0.25">
      <c r="A8" s="5" t="s">
        <v>15</v>
      </c>
      <c r="B8" s="5" t="s">
        <v>27</v>
      </c>
      <c r="C8" s="6">
        <v>1</v>
      </c>
      <c r="D8" s="6">
        <v>30</v>
      </c>
      <c r="E8" s="6">
        <v>78.56</v>
      </c>
      <c r="F8" s="6">
        <v>239.24998999999997</v>
      </c>
      <c r="G8" s="6">
        <v>10</v>
      </c>
      <c r="H8" s="5"/>
      <c r="I8" s="5"/>
      <c r="J8" s="5"/>
    </row>
    <row r="9" spans="1:10" x14ac:dyDescent="0.25">
      <c r="A9" s="5" t="s">
        <v>15</v>
      </c>
      <c r="B9" s="5" t="s">
        <v>29</v>
      </c>
      <c r="C9" s="6">
        <v>1</v>
      </c>
      <c r="D9" s="6">
        <v>30</v>
      </c>
      <c r="E9" s="6">
        <v>88.72</v>
      </c>
      <c r="F9" s="6">
        <v>239.24998999999997</v>
      </c>
      <c r="G9" s="6">
        <v>10</v>
      </c>
      <c r="H9" s="5"/>
      <c r="I9" s="5"/>
      <c r="J9" s="5"/>
    </row>
    <row r="10" spans="1:10" x14ac:dyDescent="0.25">
      <c r="A10" s="5" t="s">
        <v>15</v>
      </c>
      <c r="B10" s="5" t="s">
        <v>33</v>
      </c>
      <c r="C10" s="6">
        <v>1</v>
      </c>
      <c r="D10" s="6">
        <v>30</v>
      </c>
      <c r="E10" s="6">
        <v>88.72</v>
      </c>
      <c r="F10" s="6">
        <v>239.24998999999997</v>
      </c>
      <c r="G10" s="6">
        <v>10</v>
      </c>
      <c r="H10" s="5"/>
      <c r="I10" s="5"/>
      <c r="J10" s="5"/>
    </row>
    <row r="11" spans="1:10" x14ac:dyDescent="0.25">
      <c r="A11" s="5" t="s">
        <v>85</v>
      </c>
      <c r="B11" s="5" t="s">
        <v>18</v>
      </c>
      <c r="C11" s="6">
        <v>1</v>
      </c>
      <c r="D11" s="6">
        <v>30</v>
      </c>
      <c r="E11" s="6">
        <v>123.05499999999999</v>
      </c>
      <c r="F11" s="6">
        <v>302.11500000000001</v>
      </c>
      <c r="G11" s="6">
        <v>10</v>
      </c>
      <c r="H11" s="5"/>
      <c r="I11" s="5"/>
      <c r="J11" s="5"/>
    </row>
    <row r="12" spans="1:10" x14ac:dyDescent="0.25">
      <c r="A12" s="5" t="s">
        <v>85</v>
      </c>
      <c r="B12" s="5" t="s">
        <v>18</v>
      </c>
      <c r="C12" s="6">
        <v>1</v>
      </c>
      <c r="D12" s="6">
        <v>30</v>
      </c>
      <c r="E12" s="6">
        <v>123.05499999999999</v>
      </c>
      <c r="F12" s="6">
        <v>302.11500000000001</v>
      </c>
      <c r="G12" s="6">
        <v>10</v>
      </c>
      <c r="H12" s="5"/>
      <c r="I12" s="5"/>
      <c r="J12" s="5"/>
    </row>
    <row r="13" spans="1:10" x14ac:dyDescent="0.25">
      <c r="A13" s="5" t="s">
        <v>85</v>
      </c>
      <c r="B13" s="5" t="s">
        <v>18</v>
      </c>
      <c r="C13" s="6">
        <v>1</v>
      </c>
      <c r="D13" s="6">
        <v>30</v>
      </c>
      <c r="E13" s="6">
        <v>123.05499999999999</v>
      </c>
      <c r="F13" s="6">
        <v>302.11500000000001</v>
      </c>
      <c r="G13" s="6">
        <v>10</v>
      </c>
      <c r="H13" s="5"/>
      <c r="I13" s="5"/>
      <c r="J13" s="5"/>
    </row>
    <row r="14" spans="1:10" x14ac:dyDescent="0.25">
      <c r="A14" s="5" t="s">
        <v>85</v>
      </c>
      <c r="B14" s="5" t="s">
        <v>21</v>
      </c>
      <c r="C14" s="6">
        <v>1</v>
      </c>
      <c r="D14" s="6">
        <v>30</v>
      </c>
      <c r="E14" s="6">
        <v>91.5</v>
      </c>
      <c r="F14" s="6">
        <v>302.59499999999997</v>
      </c>
      <c r="G14" s="6">
        <v>10</v>
      </c>
      <c r="H14" s="5"/>
      <c r="I14" s="5"/>
      <c r="J14" s="5"/>
    </row>
    <row r="15" spans="1:10" x14ac:dyDescent="0.25">
      <c r="A15" s="5" t="s">
        <v>85</v>
      </c>
      <c r="B15" s="5" t="s">
        <v>21</v>
      </c>
      <c r="C15" s="6">
        <v>1</v>
      </c>
      <c r="D15" s="6">
        <v>30</v>
      </c>
      <c r="E15" s="6">
        <v>91.5</v>
      </c>
      <c r="F15" s="6">
        <v>302.59499999999997</v>
      </c>
      <c r="G15" s="6">
        <v>10</v>
      </c>
      <c r="H15" s="5"/>
      <c r="I15" s="5"/>
      <c r="J15" s="5"/>
    </row>
    <row r="16" spans="1:10" x14ac:dyDescent="0.25">
      <c r="A16" s="5" t="s">
        <v>85</v>
      </c>
      <c r="B16" s="5" t="s">
        <v>20</v>
      </c>
      <c r="C16" s="6">
        <v>1</v>
      </c>
      <c r="D16" s="6">
        <v>30</v>
      </c>
      <c r="E16" s="6">
        <v>91.5</v>
      </c>
      <c r="F16" s="6">
        <v>241.00001000000003</v>
      </c>
      <c r="G16" s="6">
        <v>10</v>
      </c>
      <c r="H16" s="5"/>
      <c r="I16" s="5"/>
      <c r="J16" s="5"/>
    </row>
    <row r="17" spans="1:10" x14ac:dyDescent="0.25">
      <c r="A17" s="5" t="s">
        <v>85</v>
      </c>
      <c r="B17" s="5" t="s">
        <v>20</v>
      </c>
      <c r="C17" s="6">
        <v>1</v>
      </c>
      <c r="D17" s="6">
        <v>30</v>
      </c>
      <c r="E17" s="6">
        <v>91.5</v>
      </c>
      <c r="F17" s="6">
        <v>241.00001000000003</v>
      </c>
      <c r="G17" s="6">
        <v>10</v>
      </c>
      <c r="H17" s="5"/>
      <c r="I17" s="5"/>
      <c r="J17" s="5"/>
    </row>
    <row r="18" spans="1:10" x14ac:dyDescent="0.25">
      <c r="A18" s="5" t="s">
        <v>85</v>
      </c>
      <c r="B18" s="5" t="s">
        <v>22</v>
      </c>
      <c r="C18" s="6">
        <v>1</v>
      </c>
      <c r="D18" s="6">
        <v>30</v>
      </c>
      <c r="E18" s="6">
        <v>121.19000000000001</v>
      </c>
      <c r="F18" s="6">
        <v>241.00001000000003</v>
      </c>
      <c r="G18" s="6">
        <v>10</v>
      </c>
      <c r="H18" s="5"/>
      <c r="I18" s="5"/>
      <c r="J18" s="5"/>
    </row>
    <row r="19" spans="1:10" x14ac:dyDescent="0.25">
      <c r="A19" s="5" t="s">
        <v>85</v>
      </c>
      <c r="B19" s="5" t="s">
        <v>19</v>
      </c>
      <c r="C19" s="6">
        <v>1</v>
      </c>
      <c r="D19" s="6">
        <v>30</v>
      </c>
      <c r="E19" s="6">
        <v>121.19000000000001</v>
      </c>
      <c r="F19" s="6">
        <v>241.00001000000003</v>
      </c>
      <c r="G19" s="6">
        <v>10</v>
      </c>
      <c r="H19" s="5"/>
      <c r="I19" s="5"/>
      <c r="J19" s="5"/>
    </row>
    <row r="20" spans="1:10" x14ac:dyDescent="0.25">
      <c r="A20" s="5" t="s">
        <v>85</v>
      </c>
      <c r="B20" s="5" t="s">
        <v>23</v>
      </c>
      <c r="C20" s="6">
        <v>1</v>
      </c>
      <c r="D20" s="6">
        <v>30</v>
      </c>
      <c r="E20" s="6">
        <v>114.22072</v>
      </c>
      <c r="F20" s="6">
        <v>240.52001000000001</v>
      </c>
      <c r="G20" s="6">
        <v>10</v>
      </c>
      <c r="H20" s="5"/>
      <c r="I20" s="5"/>
      <c r="J20" s="5"/>
    </row>
    <row r="21" spans="1:10" x14ac:dyDescent="0.25">
      <c r="A21" s="5" t="s">
        <v>85</v>
      </c>
      <c r="B21" s="5" t="s">
        <v>23</v>
      </c>
      <c r="C21" s="6">
        <v>1</v>
      </c>
      <c r="D21" s="6">
        <v>30</v>
      </c>
      <c r="E21" s="6">
        <v>114.22072</v>
      </c>
      <c r="F21" s="6">
        <v>240.52001000000001</v>
      </c>
      <c r="G21" s="6">
        <v>10</v>
      </c>
      <c r="H21" s="5"/>
      <c r="I21" s="5"/>
      <c r="J21" s="5"/>
    </row>
    <row r="22" spans="1:10" x14ac:dyDescent="0.25">
      <c r="A22" s="5" t="s">
        <v>85</v>
      </c>
      <c r="B22" s="5" t="s">
        <v>17</v>
      </c>
      <c r="C22" s="6">
        <v>1</v>
      </c>
      <c r="D22" s="6">
        <v>30</v>
      </c>
      <c r="E22" s="6">
        <v>146.68599</v>
      </c>
      <c r="F22" s="6">
        <v>240.52001000000001</v>
      </c>
      <c r="G22" s="6">
        <v>10</v>
      </c>
      <c r="H22" s="5"/>
      <c r="I22" s="5"/>
      <c r="J22" s="5"/>
    </row>
    <row r="23" spans="1:10" x14ac:dyDescent="0.25">
      <c r="A23" s="5" t="s">
        <v>85</v>
      </c>
      <c r="B23" s="5" t="s">
        <v>17</v>
      </c>
      <c r="C23" s="6">
        <v>1</v>
      </c>
      <c r="D23" s="6">
        <v>30</v>
      </c>
      <c r="E23" s="6">
        <v>146.68599</v>
      </c>
      <c r="F23" s="6">
        <v>240.52001000000001</v>
      </c>
      <c r="G23" s="6">
        <v>10</v>
      </c>
      <c r="H23" s="5"/>
      <c r="I23" s="5"/>
      <c r="J23" s="5"/>
    </row>
    <row r="24" spans="1:10" x14ac:dyDescent="0.25">
      <c r="A24" s="5" t="s">
        <v>85</v>
      </c>
      <c r="B24" s="5" t="s">
        <v>17</v>
      </c>
      <c r="C24" s="6">
        <v>1</v>
      </c>
      <c r="D24" s="6">
        <v>30</v>
      </c>
      <c r="E24" s="6">
        <v>146.68599</v>
      </c>
      <c r="F24" s="6">
        <v>240.52001000000001</v>
      </c>
      <c r="G24" s="6">
        <v>10</v>
      </c>
      <c r="H24" s="5"/>
      <c r="I24" s="5"/>
      <c r="J24" s="5"/>
    </row>
    <row r="25" spans="1:10" x14ac:dyDescent="0.25">
      <c r="A25" s="5" t="s">
        <v>85</v>
      </c>
      <c r="B25" s="5" t="s">
        <v>17</v>
      </c>
      <c r="C25" s="6">
        <v>1</v>
      </c>
      <c r="D25" s="6">
        <v>30</v>
      </c>
      <c r="E25" s="6">
        <v>146.68599</v>
      </c>
      <c r="F25" s="6">
        <v>240.52001000000001</v>
      </c>
      <c r="G25" s="6">
        <v>10</v>
      </c>
      <c r="H25" s="5"/>
      <c r="I25" s="5"/>
      <c r="J25" s="5"/>
    </row>
    <row r="26" spans="1:10" x14ac:dyDescent="0.25">
      <c r="A26" s="5" t="s">
        <v>14</v>
      </c>
      <c r="B26" s="5" t="s">
        <v>26</v>
      </c>
      <c r="C26" s="6">
        <v>1</v>
      </c>
      <c r="D26" s="6">
        <v>30</v>
      </c>
      <c r="E26" s="6">
        <v>76.2</v>
      </c>
      <c r="F26" s="6">
        <v>204.47</v>
      </c>
      <c r="G26" s="6">
        <v>10</v>
      </c>
      <c r="H26" s="5"/>
      <c r="I26" s="5"/>
      <c r="J26" s="5"/>
    </row>
    <row r="27" spans="1:10" x14ac:dyDescent="0.25">
      <c r="A27" s="5" t="s">
        <v>14</v>
      </c>
      <c r="B27" s="5" t="s">
        <v>24</v>
      </c>
      <c r="C27" s="6">
        <v>1</v>
      </c>
      <c r="D27" s="6">
        <v>30</v>
      </c>
      <c r="E27" s="6">
        <v>76.2</v>
      </c>
      <c r="F27" s="6">
        <v>204.47</v>
      </c>
      <c r="G27" s="6">
        <v>10</v>
      </c>
      <c r="H27" s="5"/>
      <c r="I27" s="5"/>
      <c r="J27" s="5"/>
    </row>
    <row r="28" spans="1:10" x14ac:dyDescent="0.25">
      <c r="A28" s="5" t="s">
        <v>14</v>
      </c>
      <c r="B28" s="5" t="s">
        <v>25</v>
      </c>
      <c r="C28" s="6">
        <v>1</v>
      </c>
      <c r="D28" s="6">
        <v>30</v>
      </c>
      <c r="E28" s="6">
        <v>72.929999999999993</v>
      </c>
      <c r="F28" s="6">
        <v>152.4</v>
      </c>
      <c r="G28" s="6">
        <v>10</v>
      </c>
      <c r="H28" s="5"/>
      <c r="I28" s="5"/>
      <c r="J28" s="5"/>
    </row>
    <row r="29" spans="1:10" x14ac:dyDescent="0.25">
      <c r="A29" s="5" t="s">
        <v>14</v>
      </c>
      <c r="B29" s="5" t="s">
        <v>25</v>
      </c>
      <c r="C29" s="6">
        <v>1</v>
      </c>
      <c r="D29" s="6">
        <v>30</v>
      </c>
      <c r="E29" s="6">
        <v>72.929999999999993</v>
      </c>
      <c r="F29" s="6">
        <v>152.4</v>
      </c>
      <c r="G29" s="6">
        <v>10</v>
      </c>
      <c r="H29" s="5"/>
      <c r="I29" s="5"/>
      <c r="J29" s="5"/>
    </row>
    <row r="30" spans="1:10" x14ac:dyDescent="0.25">
      <c r="A30" s="5" t="s">
        <v>16</v>
      </c>
      <c r="B30" s="5" t="s">
        <v>35</v>
      </c>
      <c r="C30" s="6">
        <v>1</v>
      </c>
      <c r="D30" s="6">
        <v>30</v>
      </c>
      <c r="E30" s="6">
        <v>122.24000000000001</v>
      </c>
      <c r="F30" s="6">
        <v>300.98998999999998</v>
      </c>
      <c r="G30" s="6">
        <v>10</v>
      </c>
      <c r="H30" s="5"/>
      <c r="I30" s="5"/>
      <c r="J30" s="5"/>
    </row>
    <row r="31" spans="1:10" x14ac:dyDescent="0.25">
      <c r="A31" s="5" t="s">
        <v>16</v>
      </c>
      <c r="B31" s="5" t="s">
        <v>35</v>
      </c>
      <c r="C31" s="6">
        <v>1</v>
      </c>
      <c r="D31" s="6">
        <v>30</v>
      </c>
      <c r="E31" s="6">
        <v>123.28998999999999</v>
      </c>
      <c r="F31" s="6">
        <v>300.98998999999998</v>
      </c>
      <c r="G31" s="6">
        <v>10</v>
      </c>
      <c r="H31" s="5"/>
      <c r="I31" s="5"/>
      <c r="J31" s="5"/>
    </row>
    <row r="32" spans="1:10" x14ac:dyDescent="0.25">
      <c r="A32" s="5" t="s">
        <v>16</v>
      </c>
      <c r="B32" s="5" t="s">
        <v>40</v>
      </c>
      <c r="C32" s="6">
        <v>1</v>
      </c>
      <c r="D32" s="6">
        <v>30</v>
      </c>
      <c r="E32" s="6">
        <v>123.28998999999999</v>
      </c>
      <c r="F32" s="6">
        <v>303.53000000000003</v>
      </c>
      <c r="G32" s="6">
        <v>10</v>
      </c>
      <c r="H32" s="5"/>
      <c r="I32" s="5"/>
      <c r="J32" s="5"/>
    </row>
    <row r="33" spans="1:10" x14ac:dyDescent="0.25">
      <c r="A33" s="5" t="s">
        <v>16</v>
      </c>
      <c r="B33" s="5" t="s">
        <v>40</v>
      </c>
      <c r="C33" s="6">
        <v>1</v>
      </c>
      <c r="D33" s="6">
        <v>30</v>
      </c>
      <c r="E33" s="6">
        <v>122.24000000000001</v>
      </c>
      <c r="F33" s="6">
        <v>303.53000000000003</v>
      </c>
      <c r="G33" s="6">
        <v>10</v>
      </c>
      <c r="H33" s="5"/>
      <c r="I33" s="5"/>
      <c r="J33" s="5"/>
    </row>
    <row r="34" spans="1:10" x14ac:dyDescent="0.25">
      <c r="A34" s="5" t="s">
        <v>16</v>
      </c>
      <c r="B34" s="5" t="s">
        <v>36</v>
      </c>
      <c r="C34" s="6">
        <v>1</v>
      </c>
      <c r="D34" s="6">
        <v>30</v>
      </c>
      <c r="E34" s="6">
        <v>107.00001</v>
      </c>
      <c r="F34" s="6">
        <v>303.53000000000003</v>
      </c>
      <c r="G34" s="6">
        <v>10</v>
      </c>
      <c r="H34" s="5"/>
      <c r="I34" s="5"/>
      <c r="J34" s="5"/>
    </row>
    <row r="35" spans="1:10" x14ac:dyDescent="0.25">
      <c r="A35" s="5" t="s">
        <v>16</v>
      </c>
      <c r="B35" s="5" t="s">
        <v>36</v>
      </c>
      <c r="C35" s="6">
        <v>1</v>
      </c>
      <c r="D35" s="6">
        <v>30</v>
      </c>
      <c r="E35" s="6">
        <v>108.05</v>
      </c>
      <c r="F35" s="6">
        <v>303.53000000000003</v>
      </c>
      <c r="G35" s="6">
        <v>10</v>
      </c>
      <c r="H35" s="5"/>
      <c r="I35" s="5"/>
      <c r="J35" s="5"/>
    </row>
    <row r="36" spans="1:10" x14ac:dyDescent="0.25">
      <c r="A36" s="5" t="s">
        <v>16</v>
      </c>
      <c r="B36" s="5" t="s">
        <v>34</v>
      </c>
      <c r="C36" s="6">
        <v>1</v>
      </c>
      <c r="D36" s="6">
        <v>30</v>
      </c>
      <c r="E36" s="6">
        <v>108.05</v>
      </c>
      <c r="F36" s="6">
        <v>303.53000000000003</v>
      </c>
      <c r="G36" s="6">
        <v>10</v>
      </c>
      <c r="H36" s="5"/>
      <c r="I36" s="5"/>
      <c r="J36" s="5"/>
    </row>
    <row r="37" spans="1:10" x14ac:dyDescent="0.25">
      <c r="A37" s="5" t="s">
        <v>16</v>
      </c>
      <c r="B37" s="5" t="s">
        <v>34</v>
      </c>
      <c r="C37" s="6">
        <v>1</v>
      </c>
      <c r="D37" s="6">
        <v>30</v>
      </c>
      <c r="E37" s="6">
        <v>107.00001</v>
      </c>
      <c r="F37" s="6">
        <v>303.53000000000003</v>
      </c>
      <c r="G37" s="6">
        <v>10</v>
      </c>
      <c r="H37" s="5"/>
      <c r="I37" s="5"/>
      <c r="J37" s="5"/>
    </row>
    <row r="38" spans="1:10" x14ac:dyDescent="0.25">
      <c r="A38" s="5" t="s">
        <v>16</v>
      </c>
      <c r="B38" s="5" t="s">
        <v>43</v>
      </c>
      <c r="C38" s="6">
        <v>1</v>
      </c>
      <c r="D38" s="6">
        <v>30</v>
      </c>
      <c r="E38" s="6">
        <v>122.24000000000001</v>
      </c>
      <c r="F38" s="6">
        <v>303.53000000000003</v>
      </c>
      <c r="G38" s="6">
        <v>10</v>
      </c>
      <c r="H38" s="5"/>
      <c r="I38" s="5"/>
      <c r="J38" s="5"/>
    </row>
    <row r="39" spans="1:10" x14ac:dyDescent="0.25">
      <c r="A39" s="5" t="s">
        <v>16</v>
      </c>
      <c r="B39" s="5" t="s">
        <v>43</v>
      </c>
      <c r="C39" s="6">
        <v>1</v>
      </c>
      <c r="D39" s="6">
        <v>30</v>
      </c>
      <c r="E39" s="6">
        <v>123.28998999999999</v>
      </c>
      <c r="F39" s="6">
        <v>303.53000000000003</v>
      </c>
      <c r="G39" s="6">
        <v>10</v>
      </c>
      <c r="H39" s="5"/>
      <c r="I39" s="5"/>
      <c r="J39" s="5"/>
    </row>
    <row r="40" spans="1:10" x14ac:dyDescent="0.25">
      <c r="A40" s="5" t="s">
        <v>16</v>
      </c>
      <c r="B40" s="5" t="s">
        <v>42</v>
      </c>
      <c r="C40" s="6">
        <v>1</v>
      </c>
      <c r="D40" s="6">
        <v>30</v>
      </c>
      <c r="E40" s="6">
        <v>213.36001000000002</v>
      </c>
      <c r="F40" s="6">
        <v>266.96948000000003</v>
      </c>
      <c r="G40" s="6">
        <v>10</v>
      </c>
      <c r="H40" s="5"/>
      <c r="I40" s="5"/>
      <c r="J40" s="5"/>
    </row>
    <row r="41" spans="1:10" x14ac:dyDescent="0.25">
      <c r="A41" s="5" t="s">
        <v>16</v>
      </c>
      <c r="B41" s="5" t="s">
        <v>44</v>
      </c>
      <c r="C41" s="6">
        <v>1</v>
      </c>
      <c r="D41" s="6">
        <v>30</v>
      </c>
      <c r="E41" s="6">
        <v>153.77000000000001</v>
      </c>
      <c r="F41" s="6">
        <v>243.83999</v>
      </c>
      <c r="G41" s="6">
        <v>10</v>
      </c>
      <c r="H41" s="5"/>
      <c r="I41" s="5"/>
      <c r="J41" s="5"/>
    </row>
    <row r="42" spans="1:10" x14ac:dyDescent="0.25">
      <c r="A42" s="5" t="s">
        <v>16</v>
      </c>
      <c r="B42" s="5" t="s">
        <v>44</v>
      </c>
      <c r="C42" s="6">
        <v>1</v>
      </c>
      <c r="D42" s="6">
        <v>30</v>
      </c>
      <c r="E42" s="6">
        <v>152.72</v>
      </c>
      <c r="F42" s="6">
        <v>243.83999</v>
      </c>
      <c r="G42" s="6">
        <v>10</v>
      </c>
      <c r="H42" s="5"/>
      <c r="I42" s="5"/>
      <c r="J42" s="5"/>
    </row>
    <row r="43" spans="1:10" x14ac:dyDescent="0.25">
      <c r="A43" s="5" t="s">
        <v>16</v>
      </c>
      <c r="B43" s="5" t="s">
        <v>39</v>
      </c>
      <c r="C43" s="6">
        <v>1</v>
      </c>
      <c r="D43" s="6">
        <v>30</v>
      </c>
      <c r="E43" s="6">
        <v>107.00001</v>
      </c>
      <c r="F43" s="6">
        <v>243.83999</v>
      </c>
      <c r="G43" s="6">
        <v>10</v>
      </c>
      <c r="H43" s="5"/>
      <c r="I43" s="5"/>
      <c r="J43" s="5"/>
    </row>
    <row r="44" spans="1:10" x14ac:dyDescent="0.25">
      <c r="A44" s="5" t="s">
        <v>16</v>
      </c>
      <c r="B44" s="5" t="s">
        <v>39</v>
      </c>
      <c r="C44" s="6">
        <v>1</v>
      </c>
      <c r="D44" s="6">
        <v>30</v>
      </c>
      <c r="E44" s="6">
        <v>108.05</v>
      </c>
      <c r="F44" s="6">
        <v>243.83999</v>
      </c>
      <c r="G44" s="6">
        <v>10</v>
      </c>
      <c r="H44" s="5"/>
      <c r="I44" s="5"/>
      <c r="J44" s="5"/>
    </row>
    <row r="45" spans="1:10" x14ac:dyDescent="0.25">
      <c r="A45" s="5" t="s">
        <v>16</v>
      </c>
      <c r="B45" s="5" t="s">
        <v>37</v>
      </c>
      <c r="C45" s="6">
        <v>1</v>
      </c>
      <c r="D45" s="6">
        <v>30</v>
      </c>
      <c r="E45" s="6">
        <v>133.78371999999999</v>
      </c>
      <c r="F45" s="6">
        <v>243.83999</v>
      </c>
      <c r="G45" s="6">
        <v>10</v>
      </c>
      <c r="H45" s="5"/>
      <c r="I45" s="5"/>
      <c r="J45" s="5"/>
    </row>
    <row r="46" spans="1:10" x14ac:dyDescent="0.25">
      <c r="A46" s="5" t="s">
        <v>16</v>
      </c>
      <c r="B46" s="5" t="s">
        <v>37</v>
      </c>
      <c r="C46" s="6">
        <v>1</v>
      </c>
      <c r="D46" s="6">
        <v>30</v>
      </c>
      <c r="E46" s="6">
        <v>143.41369</v>
      </c>
      <c r="F46" s="6">
        <v>243.83999</v>
      </c>
      <c r="G46" s="6">
        <v>10</v>
      </c>
      <c r="H46" s="5"/>
      <c r="I46" s="5"/>
      <c r="J46" s="5"/>
    </row>
    <row r="47" spans="1:10" x14ac:dyDescent="0.25">
      <c r="A47" s="5" t="s">
        <v>16</v>
      </c>
      <c r="B47" s="5" t="s">
        <v>37</v>
      </c>
      <c r="C47" s="6">
        <v>1</v>
      </c>
      <c r="D47" s="6">
        <v>30</v>
      </c>
      <c r="E47" s="6">
        <v>144.33009999999999</v>
      </c>
      <c r="F47" s="6">
        <v>243.83999</v>
      </c>
      <c r="G47" s="6">
        <v>10</v>
      </c>
      <c r="H47" s="5"/>
      <c r="I47" s="5"/>
      <c r="J47" s="5"/>
    </row>
    <row r="48" spans="1:10" x14ac:dyDescent="0.25">
      <c r="A48" s="5" t="s">
        <v>16</v>
      </c>
      <c r="B48" s="5" t="s">
        <v>38</v>
      </c>
      <c r="C48" s="6">
        <v>1</v>
      </c>
      <c r="D48" s="6">
        <v>30</v>
      </c>
      <c r="E48" s="6">
        <v>107.00001</v>
      </c>
      <c r="F48" s="6">
        <v>243.83999</v>
      </c>
      <c r="G48" s="6">
        <v>10</v>
      </c>
      <c r="H48" s="5"/>
      <c r="I48" s="5"/>
      <c r="J48" s="5"/>
    </row>
    <row r="49" spans="1:10" x14ac:dyDescent="0.25">
      <c r="A49" s="5" t="s">
        <v>16</v>
      </c>
      <c r="B49" s="5" t="s">
        <v>38</v>
      </c>
      <c r="C49" s="6">
        <v>1</v>
      </c>
      <c r="D49" s="6">
        <v>30</v>
      </c>
      <c r="E49" s="6">
        <v>108.05</v>
      </c>
      <c r="F49" s="6">
        <v>243.83999</v>
      </c>
      <c r="G49" s="6">
        <v>10</v>
      </c>
      <c r="H49" s="5"/>
      <c r="I49" s="5"/>
      <c r="J49" s="5"/>
    </row>
    <row r="50" spans="1:10" x14ac:dyDescent="0.25">
      <c r="A50" s="5" t="s">
        <v>16</v>
      </c>
      <c r="B50" s="5" t="s">
        <v>45</v>
      </c>
      <c r="C50" s="6">
        <v>1</v>
      </c>
      <c r="D50" s="6">
        <v>30</v>
      </c>
      <c r="E50" s="6">
        <v>213.36001000000002</v>
      </c>
      <c r="F50" s="6">
        <v>401.01013</v>
      </c>
      <c r="G50" s="6">
        <v>10</v>
      </c>
      <c r="H50" s="5"/>
      <c r="I50" s="5"/>
      <c r="J50" s="5"/>
    </row>
    <row r="51" spans="1:10" x14ac:dyDescent="0.25">
      <c r="A51" s="5" t="s">
        <v>16</v>
      </c>
      <c r="B51" s="5" t="s">
        <v>41</v>
      </c>
      <c r="C51" s="6">
        <v>1</v>
      </c>
      <c r="D51" s="6">
        <v>30</v>
      </c>
      <c r="E51" s="6">
        <v>153.77000000000001</v>
      </c>
      <c r="F51" s="6">
        <v>303.53000000000003</v>
      </c>
      <c r="G51" s="6">
        <v>10</v>
      </c>
      <c r="H51" s="5"/>
      <c r="I51" s="5"/>
      <c r="J51" s="5"/>
    </row>
    <row r="52" spans="1:10" x14ac:dyDescent="0.25">
      <c r="A52" s="5" t="s">
        <v>16</v>
      </c>
      <c r="B52" s="5" t="s">
        <v>41</v>
      </c>
      <c r="C52" s="6">
        <v>1</v>
      </c>
      <c r="D52" s="6">
        <v>30</v>
      </c>
      <c r="E52" s="6">
        <v>152.72</v>
      </c>
      <c r="F52" s="6">
        <v>303.53000000000003</v>
      </c>
      <c r="G52" s="6">
        <v>10</v>
      </c>
      <c r="H52" s="5"/>
      <c r="I52" s="5"/>
      <c r="J52" s="5"/>
    </row>
    <row r="53" spans="1:10" x14ac:dyDescent="0.25">
      <c r="A53" s="5" t="s">
        <v>83</v>
      </c>
      <c r="B53" s="5" t="s">
        <v>51</v>
      </c>
      <c r="C53" s="6">
        <v>1</v>
      </c>
      <c r="D53" s="6">
        <v>30</v>
      </c>
      <c r="E53" s="6">
        <v>148.19121999999999</v>
      </c>
      <c r="F53" s="6">
        <v>303.53000000000003</v>
      </c>
      <c r="G53" s="6">
        <v>10</v>
      </c>
      <c r="H53" s="5"/>
      <c r="I53" s="5"/>
      <c r="J53" s="5"/>
    </row>
    <row r="54" spans="1:10" x14ac:dyDescent="0.25">
      <c r="A54" s="5" t="s">
        <v>83</v>
      </c>
      <c r="B54" s="5" t="s">
        <v>52</v>
      </c>
      <c r="C54" s="6">
        <v>1</v>
      </c>
      <c r="D54" s="6">
        <v>30</v>
      </c>
      <c r="E54" s="6">
        <v>86.36</v>
      </c>
      <c r="F54" s="6">
        <v>59.312049999999999</v>
      </c>
      <c r="G54" s="6">
        <v>10</v>
      </c>
      <c r="H54" s="5"/>
      <c r="I54" s="5"/>
      <c r="J54" s="5"/>
    </row>
    <row r="55" spans="1:10" x14ac:dyDescent="0.25">
      <c r="A55" s="5" t="s">
        <v>83</v>
      </c>
      <c r="B55" s="5" t="s">
        <v>46</v>
      </c>
      <c r="C55" s="6">
        <v>1</v>
      </c>
      <c r="D55" s="6">
        <v>30</v>
      </c>
      <c r="E55" s="6">
        <v>152.4</v>
      </c>
      <c r="F55" s="6">
        <v>242.57</v>
      </c>
      <c r="G55" s="6">
        <v>10</v>
      </c>
      <c r="H55" s="5"/>
      <c r="I55" s="5"/>
      <c r="J55" s="5"/>
    </row>
    <row r="56" spans="1:10" x14ac:dyDescent="0.25">
      <c r="A56" s="5" t="s">
        <v>83</v>
      </c>
      <c r="B56" s="5" t="s">
        <v>48</v>
      </c>
      <c r="C56" s="6">
        <v>1</v>
      </c>
      <c r="D56" s="6">
        <v>30</v>
      </c>
      <c r="E56" s="6">
        <v>86.36</v>
      </c>
      <c r="F56" s="6">
        <v>59.312049999999999</v>
      </c>
      <c r="G56" s="6">
        <v>10</v>
      </c>
      <c r="H56" s="5"/>
      <c r="I56" s="5"/>
      <c r="J56" s="5"/>
    </row>
    <row r="57" spans="1:10" x14ac:dyDescent="0.25">
      <c r="A57" s="5" t="s">
        <v>83</v>
      </c>
      <c r="B57" s="5" t="s">
        <v>50</v>
      </c>
      <c r="C57" s="6">
        <v>1</v>
      </c>
      <c r="D57" s="6">
        <v>30</v>
      </c>
      <c r="E57" s="6">
        <v>149.87753000000001</v>
      </c>
      <c r="F57" s="6">
        <v>204.47</v>
      </c>
      <c r="G57" s="6">
        <v>10</v>
      </c>
      <c r="H57" s="5"/>
      <c r="I57" s="5"/>
      <c r="J57" s="5"/>
    </row>
    <row r="58" spans="1:10" x14ac:dyDescent="0.25">
      <c r="A58" s="5" t="s">
        <v>83</v>
      </c>
      <c r="B58" s="5" t="s">
        <v>47</v>
      </c>
      <c r="C58" s="6">
        <v>1</v>
      </c>
      <c r="D58" s="6">
        <v>30</v>
      </c>
      <c r="E58" s="6">
        <v>152.4</v>
      </c>
      <c r="F58" s="6">
        <v>364.48998999999998</v>
      </c>
      <c r="G58" s="6">
        <v>10</v>
      </c>
      <c r="H58" s="5"/>
      <c r="I58" s="5"/>
      <c r="J58" s="5"/>
    </row>
    <row r="59" spans="1:10" x14ac:dyDescent="0.25">
      <c r="A59" s="5" t="s">
        <v>83</v>
      </c>
      <c r="B59" s="5" t="s">
        <v>49</v>
      </c>
      <c r="C59" s="6">
        <v>1</v>
      </c>
      <c r="D59" s="6">
        <v>30</v>
      </c>
      <c r="E59" s="6">
        <v>152.4</v>
      </c>
      <c r="F59" s="6">
        <v>364.48998999999998</v>
      </c>
      <c r="G59" s="6">
        <v>10</v>
      </c>
      <c r="H59" s="5"/>
      <c r="I59" s="5"/>
      <c r="J59" s="5"/>
    </row>
    <row r="60" spans="1:10" x14ac:dyDescent="0.25">
      <c r="A60" s="5" t="s">
        <v>84</v>
      </c>
      <c r="B60" s="5" t="s">
        <v>78</v>
      </c>
      <c r="C60" s="6">
        <v>1</v>
      </c>
      <c r="D60" s="6">
        <v>30</v>
      </c>
      <c r="E60" s="6">
        <v>73.66</v>
      </c>
      <c r="F60" s="6">
        <v>149.85999999999999</v>
      </c>
      <c r="G60" s="6">
        <v>10</v>
      </c>
      <c r="H60" s="5"/>
      <c r="I60" s="5"/>
      <c r="J60" s="5"/>
    </row>
    <row r="61" spans="1:10" x14ac:dyDescent="0.25">
      <c r="A61" s="5" t="s">
        <v>84</v>
      </c>
      <c r="B61" s="5" t="s">
        <v>78</v>
      </c>
      <c r="C61" s="6">
        <v>1</v>
      </c>
      <c r="D61" s="6">
        <v>30</v>
      </c>
      <c r="E61" s="6">
        <v>73.66</v>
      </c>
      <c r="F61" s="6">
        <v>149.85999999999999</v>
      </c>
      <c r="G61" s="6">
        <v>10</v>
      </c>
      <c r="H61" s="5"/>
      <c r="I61" s="5"/>
      <c r="J61" s="5"/>
    </row>
    <row r="62" spans="1:10" x14ac:dyDescent="0.25">
      <c r="A62" s="5" t="s">
        <v>84</v>
      </c>
      <c r="B62" s="5" t="s">
        <v>63</v>
      </c>
      <c r="C62" s="6">
        <v>1</v>
      </c>
      <c r="D62" s="6">
        <v>30</v>
      </c>
      <c r="E62" s="6">
        <v>73.66</v>
      </c>
      <c r="F62" s="6">
        <v>149.85999999999999</v>
      </c>
      <c r="G62" s="6">
        <v>10</v>
      </c>
      <c r="H62" s="5"/>
      <c r="I62" s="5"/>
      <c r="J62" s="5"/>
    </row>
    <row r="63" spans="1:10" x14ac:dyDescent="0.25">
      <c r="A63" s="5" t="s">
        <v>84</v>
      </c>
      <c r="B63" s="5" t="s">
        <v>63</v>
      </c>
      <c r="C63" s="6">
        <v>1</v>
      </c>
      <c r="D63" s="6">
        <v>30</v>
      </c>
      <c r="E63" s="6">
        <v>73.66</v>
      </c>
      <c r="F63" s="6">
        <v>149.85999999999999</v>
      </c>
      <c r="G63" s="6">
        <v>10</v>
      </c>
      <c r="H63" s="5"/>
      <c r="I63" s="5"/>
      <c r="J63" s="5"/>
    </row>
    <row r="64" spans="1:10" x14ac:dyDescent="0.25">
      <c r="A64" s="5" t="s">
        <v>84</v>
      </c>
      <c r="B64" s="5" t="s">
        <v>62</v>
      </c>
      <c r="C64" s="6">
        <v>1</v>
      </c>
      <c r="D64" s="6">
        <v>30</v>
      </c>
      <c r="E64" s="6">
        <v>149.85999999999999</v>
      </c>
      <c r="F64" s="6">
        <v>210.82</v>
      </c>
      <c r="G64" s="6">
        <v>10</v>
      </c>
      <c r="H64" s="5"/>
      <c r="I64" s="5"/>
      <c r="J64" s="5"/>
    </row>
    <row r="65" spans="1:10" x14ac:dyDescent="0.25">
      <c r="A65" s="5" t="s">
        <v>84</v>
      </c>
      <c r="B65" s="5" t="s">
        <v>76</v>
      </c>
      <c r="C65" s="6">
        <v>1</v>
      </c>
      <c r="D65" s="6">
        <v>30</v>
      </c>
      <c r="E65" s="6">
        <v>90.17</v>
      </c>
      <c r="F65" s="6">
        <v>60.96</v>
      </c>
      <c r="G65" s="6">
        <v>10</v>
      </c>
      <c r="H65" s="5"/>
      <c r="I65" s="5"/>
      <c r="J65" s="5"/>
    </row>
    <row r="66" spans="1:10" x14ac:dyDescent="0.25">
      <c r="A66" s="5" t="s">
        <v>84</v>
      </c>
      <c r="B66" s="5" t="s">
        <v>76</v>
      </c>
      <c r="C66" s="6">
        <v>1</v>
      </c>
      <c r="D66" s="6">
        <v>30</v>
      </c>
      <c r="E66" s="6">
        <v>90.17</v>
      </c>
      <c r="F66" s="6">
        <v>60.96</v>
      </c>
      <c r="G66" s="6">
        <v>10</v>
      </c>
      <c r="H66" s="5"/>
      <c r="I66" s="5"/>
      <c r="J66" s="5"/>
    </row>
    <row r="67" spans="1:10" x14ac:dyDescent="0.25">
      <c r="A67" s="5" t="s">
        <v>84</v>
      </c>
      <c r="B67" s="5" t="s">
        <v>75</v>
      </c>
      <c r="C67" s="6">
        <v>1</v>
      </c>
      <c r="D67" s="6">
        <v>30</v>
      </c>
      <c r="E67" s="6">
        <v>90.17</v>
      </c>
      <c r="F67" s="6">
        <v>60.96</v>
      </c>
      <c r="G67" s="6">
        <v>10</v>
      </c>
      <c r="H67" s="5"/>
      <c r="I67" s="5"/>
      <c r="J67" s="5"/>
    </row>
    <row r="68" spans="1:10" x14ac:dyDescent="0.25">
      <c r="A68" s="5" t="s">
        <v>84</v>
      </c>
      <c r="B68" s="5" t="s">
        <v>75</v>
      </c>
      <c r="C68" s="6">
        <v>1</v>
      </c>
      <c r="D68" s="6">
        <v>30</v>
      </c>
      <c r="E68" s="6">
        <v>90.17</v>
      </c>
      <c r="F68" s="6">
        <v>60.96</v>
      </c>
      <c r="G68" s="6">
        <v>10</v>
      </c>
      <c r="H68" s="5"/>
      <c r="I68" s="5"/>
      <c r="J68" s="5"/>
    </row>
    <row r="69" spans="1:10" x14ac:dyDescent="0.25">
      <c r="A69" s="5" t="s">
        <v>84</v>
      </c>
      <c r="B69" s="5" t="s">
        <v>79</v>
      </c>
      <c r="C69" s="6">
        <v>1</v>
      </c>
      <c r="D69" s="6">
        <v>30</v>
      </c>
      <c r="E69" s="6">
        <v>73.66</v>
      </c>
      <c r="F69" s="6">
        <v>210.82</v>
      </c>
      <c r="G69" s="6">
        <v>10</v>
      </c>
      <c r="H69" s="5"/>
      <c r="I69" s="5"/>
      <c r="J69" s="5"/>
    </row>
    <row r="70" spans="1:10" x14ac:dyDescent="0.25">
      <c r="A70" s="5" t="s">
        <v>84</v>
      </c>
      <c r="B70" s="5" t="s">
        <v>74</v>
      </c>
      <c r="C70" s="6">
        <v>1</v>
      </c>
      <c r="D70" s="6">
        <v>30</v>
      </c>
      <c r="E70" s="6">
        <v>73.66</v>
      </c>
      <c r="F70" s="6">
        <v>210.82</v>
      </c>
      <c r="G70" s="6">
        <v>10</v>
      </c>
      <c r="H70" s="5"/>
      <c r="I70" s="5"/>
      <c r="J70" s="5"/>
    </row>
    <row r="71" spans="1:10" x14ac:dyDescent="0.25">
      <c r="A71" s="5" t="s">
        <v>84</v>
      </c>
      <c r="B71" s="5" t="s">
        <v>70</v>
      </c>
      <c r="C71" s="6">
        <v>1</v>
      </c>
      <c r="D71" s="6">
        <v>30</v>
      </c>
      <c r="E71" s="6">
        <v>73.66</v>
      </c>
      <c r="F71" s="6">
        <v>149.85999999999999</v>
      </c>
      <c r="G71" s="6">
        <v>10</v>
      </c>
      <c r="H71" s="5"/>
      <c r="I71" s="5"/>
      <c r="J71" s="5"/>
    </row>
    <row r="72" spans="1:10" x14ac:dyDescent="0.25">
      <c r="A72" s="5" t="s">
        <v>84</v>
      </c>
      <c r="B72" s="5" t="s">
        <v>70</v>
      </c>
      <c r="C72" s="6">
        <v>1</v>
      </c>
      <c r="D72" s="6">
        <v>30</v>
      </c>
      <c r="E72" s="6">
        <v>73.66</v>
      </c>
      <c r="F72" s="6">
        <v>149.85999999999999</v>
      </c>
      <c r="G72" s="6">
        <v>10</v>
      </c>
      <c r="H72" s="5"/>
      <c r="I72" s="5"/>
      <c r="J72" s="5"/>
    </row>
    <row r="73" spans="1:10" x14ac:dyDescent="0.25">
      <c r="A73" s="5" t="s">
        <v>84</v>
      </c>
      <c r="B73" s="5" t="s">
        <v>53</v>
      </c>
      <c r="C73" s="6">
        <v>1</v>
      </c>
      <c r="D73" s="6">
        <v>30</v>
      </c>
      <c r="E73" s="6">
        <v>73.66</v>
      </c>
      <c r="F73" s="6">
        <v>241.3</v>
      </c>
      <c r="G73" s="6">
        <v>10</v>
      </c>
      <c r="H73" s="5"/>
      <c r="I73" s="5"/>
      <c r="J73" s="5"/>
    </row>
    <row r="74" spans="1:10" x14ac:dyDescent="0.25">
      <c r="A74" s="5" t="s">
        <v>84</v>
      </c>
      <c r="B74" s="5" t="s">
        <v>55</v>
      </c>
      <c r="C74" s="6">
        <v>1</v>
      </c>
      <c r="D74" s="6">
        <v>30</v>
      </c>
      <c r="E74" s="6">
        <v>73.66</v>
      </c>
      <c r="F74" s="6">
        <v>241.3</v>
      </c>
      <c r="G74" s="6">
        <v>10</v>
      </c>
      <c r="H74" s="5"/>
      <c r="I74" s="5"/>
      <c r="J74" s="5"/>
    </row>
    <row r="75" spans="1:10" x14ac:dyDescent="0.25">
      <c r="A75" s="5" t="s">
        <v>84</v>
      </c>
      <c r="B75" s="5" t="s">
        <v>60</v>
      </c>
      <c r="C75" s="6">
        <v>1</v>
      </c>
      <c r="D75" s="6">
        <v>30</v>
      </c>
      <c r="E75" s="6">
        <v>165.1</v>
      </c>
      <c r="F75" s="6">
        <v>59.69</v>
      </c>
      <c r="G75" s="6">
        <v>10</v>
      </c>
      <c r="H75" s="5"/>
      <c r="I75" s="5"/>
      <c r="J75" s="5"/>
    </row>
    <row r="76" spans="1:10" x14ac:dyDescent="0.25">
      <c r="A76" s="5" t="s">
        <v>84</v>
      </c>
      <c r="B76" s="5" t="s">
        <v>80</v>
      </c>
      <c r="C76" s="6">
        <v>1</v>
      </c>
      <c r="D76" s="6">
        <v>30</v>
      </c>
      <c r="E76" s="6">
        <v>165.1</v>
      </c>
      <c r="F76" s="6">
        <v>59.69</v>
      </c>
      <c r="G76" s="6">
        <v>10</v>
      </c>
      <c r="H76" s="5"/>
      <c r="I76" s="5"/>
      <c r="J76" s="5"/>
    </row>
    <row r="77" spans="1:10" x14ac:dyDescent="0.25">
      <c r="A77" s="5" t="s">
        <v>84</v>
      </c>
      <c r="B77" s="5" t="s">
        <v>71</v>
      </c>
      <c r="C77" s="6">
        <v>1</v>
      </c>
      <c r="D77" s="6">
        <v>30</v>
      </c>
      <c r="E77" s="6">
        <v>73.66</v>
      </c>
      <c r="F77" s="6">
        <v>173.99482</v>
      </c>
      <c r="G77" s="6">
        <v>10</v>
      </c>
      <c r="H77" s="5"/>
      <c r="I77" s="5"/>
      <c r="J77" s="5"/>
    </row>
    <row r="78" spans="1:10" x14ac:dyDescent="0.25">
      <c r="A78" s="5" t="s">
        <v>84</v>
      </c>
      <c r="B78" s="5" t="s">
        <v>54</v>
      </c>
      <c r="C78" s="6">
        <v>1</v>
      </c>
      <c r="D78" s="6">
        <v>30</v>
      </c>
      <c r="E78" s="6">
        <v>73.66</v>
      </c>
      <c r="F78" s="6">
        <v>173.99482</v>
      </c>
      <c r="G78" s="6">
        <v>10</v>
      </c>
      <c r="H78" s="5"/>
      <c r="I78" s="5"/>
      <c r="J78" s="5"/>
    </row>
    <row r="79" spans="1:10" x14ac:dyDescent="0.25">
      <c r="A79" s="5" t="s">
        <v>84</v>
      </c>
      <c r="B79" s="5" t="s">
        <v>61</v>
      </c>
      <c r="C79" s="6">
        <v>1</v>
      </c>
      <c r="D79" s="6">
        <v>30</v>
      </c>
      <c r="E79" s="6">
        <v>91.44</v>
      </c>
      <c r="F79" s="6">
        <v>241.3</v>
      </c>
      <c r="G79" s="6">
        <v>10</v>
      </c>
      <c r="H79" s="5"/>
      <c r="I79" s="5"/>
      <c r="J79" s="5"/>
    </row>
    <row r="80" spans="1:10" x14ac:dyDescent="0.25">
      <c r="A80" s="5" t="s">
        <v>84</v>
      </c>
      <c r="B80" s="5" t="s">
        <v>68</v>
      </c>
      <c r="C80" s="6">
        <v>1</v>
      </c>
      <c r="D80" s="6">
        <v>30</v>
      </c>
      <c r="E80" s="6">
        <v>152.4</v>
      </c>
      <c r="F80" s="6">
        <v>241.3</v>
      </c>
      <c r="G80" s="6">
        <v>10</v>
      </c>
      <c r="H80" s="5"/>
      <c r="I80" s="5"/>
      <c r="J80" s="5"/>
    </row>
    <row r="81" spans="1:10" x14ac:dyDescent="0.25">
      <c r="A81" s="5" t="s">
        <v>84</v>
      </c>
      <c r="B81" s="5" t="s">
        <v>59</v>
      </c>
      <c r="C81" s="6">
        <v>1</v>
      </c>
      <c r="D81" s="6">
        <v>30</v>
      </c>
      <c r="E81" s="6">
        <v>96.52000000000001</v>
      </c>
      <c r="F81" s="6">
        <v>117.79249999999999</v>
      </c>
      <c r="G81" s="6">
        <v>10</v>
      </c>
      <c r="H81" s="5"/>
      <c r="I81" s="5"/>
      <c r="J81" s="5"/>
    </row>
    <row r="82" spans="1:10" x14ac:dyDescent="0.25">
      <c r="A82" s="5" t="s">
        <v>84</v>
      </c>
      <c r="B82" s="5" t="s">
        <v>58</v>
      </c>
      <c r="C82" s="6">
        <v>1</v>
      </c>
      <c r="D82" s="6">
        <v>30</v>
      </c>
      <c r="E82" s="6">
        <v>91.44</v>
      </c>
      <c r="F82" s="6">
        <v>241.3</v>
      </c>
      <c r="G82" s="6">
        <v>10</v>
      </c>
      <c r="H82" s="5"/>
      <c r="I82" s="5"/>
      <c r="J82" s="5"/>
    </row>
    <row r="83" spans="1:10" x14ac:dyDescent="0.25">
      <c r="A83" s="5" t="s">
        <v>84</v>
      </c>
      <c r="B83" s="5" t="s">
        <v>81</v>
      </c>
      <c r="C83" s="6">
        <v>1</v>
      </c>
      <c r="D83" s="6">
        <v>30</v>
      </c>
      <c r="E83" s="6">
        <v>152.4</v>
      </c>
      <c r="F83" s="6">
        <v>241.3</v>
      </c>
      <c r="G83" s="6">
        <v>10</v>
      </c>
      <c r="H83" s="5"/>
      <c r="I83" s="5"/>
      <c r="J83" s="5"/>
    </row>
    <row r="84" spans="1:10" x14ac:dyDescent="0.25">
      <c r="A84" s="5" t="s">
        <v>84</v>
      </c>
      <c r="B84" s="5" t="s">
        <v>77</v>
      </c>
      <c r="C84" s="6">
        <v>1</v>
      </c>
      <c r="D84" s="6">
        <v>30</v>
      </c>
      <c r="E84" s="6">
        <v>73.66</v>
      </c>
      <c r="F84" s="6">
        <v>149.85999999999999</v>
      </c>
      <c r="G84" s="6">
        <v>10</v>
      </c>
      <c r="H84" s="5"/>
      <c r="I84" s="5"/>
      <c r="J84" s="5"/>
    </row>
    <row r="85" spans="1:10" x14ac:dyDescent="0.25">
      <c r="A85" s="5" t="s">
        <v>84</v>
      </c>
      <c r="B85" s="5" t="s">
        <v>77</v>
      </c>
      <c r="C85" s="6">
        <v>1</v>
      </c>
      <c r="D85" s="6">
        <v>30</v>
      </c>
      <c r="E85" s="6">
        <v>73.66</v>
      </c>
      <c r="F85" s="6">
        <v>149.85999999999999</v>
      </c>
      <c r="G85" s="6">
        <v>10</v>
      </c>
      <c r="H85" s="5"/>
      <c r="I85" s="5"/>
      <c r="J85" s="5"/>
    </row>
    <row r="86" spans="1:10" x14ac:dyDescent="0.25">
      <c r="A86" s="5" t="s">
        <v>84</v>
      </c>
      <c r="B86" s="5" t="s">
        <v>66</v>
      </c>
      <c r="C86" s="6">
        <v>1</v>
      </c>
      <c r="D86" s="6">
        <v>30</v>
      </c>
      <c r="E86" s="6">
        <v>73.66</v>
      </c>
      <c r="F86" s="6">
        <v>119.38</v>
      </c>
      <c r="G86" s="6">
        <v>10</v>
      </c>
      <c r="H86" s="5"/>
      <c r="I86" s="5"/>
      <c r="J86" s="5"/>
    </row>
    <row r="87" spans="1:10" x14ac:dyDescent="0.25">
      <c r="A87" s="5" t="s">
        <v>84</v>
      </c>
      <c r="B87" s="5" t="s">
        <v>65</v>
      </c>
      <c r="C87" s="6">
        <v>1</v>
      </c>
      <c r="D87" s="6">
        <v>30</v>
      </c>
      <c r="E87" s="6">
        <v>73.66</v>
      </c>
      <c r="F87" s="6">
        <v>119.38</v>
      </c>
      <c r="G87" s="6">
        <v>10</v>
      </c>
      <c r="H87" s="5"/>
      <c r="I87" s="5"/>
      <c r="J87" s="5"/>
    </row>
    <row r="88" spans="1:10" x14ac:dyDescent="0.25">
      <c r="A88" s="5" t="s">
        <v>84</v>
      </c>
      <c r="B88" s="5" t="s">
        <v>69</v>
      </c>
      <c r="C88" s="6">
        <v>1</v>
      </c>
      <c r="D88" s="6">
        <v>30</v>
      </c>
      <c r="E88" s="6">
        <v>152.4</v>
      </c>
      <c r="F88" s="6">
        <v>119.38</v>
      </c>
      <c r="G88" s="6">
        <v>10</v>
      </c>
      <c r="H88" s="5"/>
      <c r="I88" s="5"/>
      <c r="J88" s="5"/>
    </row>
    <row r="89" spans="1:10" x14ac:dyDescent="0.25">
      <c r="A89" s="5" t="s">
        <v>84</v>
      </c>
      <c r="B89" s="5" t="s">
        <v>64</v>
      </c>
      <c r="C89" s="6">
        <v>1</v>
      </c>
      <c r="D89" s="6">
        <v>30</v>
      </c>
      <c r="E89" s="6">
        <v>73.66</v>
      </c>
      <c r="F89" s="6">
        <v>149.85999999999999</v>
      </c>
      <c r="G89" s="6">
        <v>10</v>
      </c>
      <c r="H89" s="5"/>
      <c r="I89" s="5"/>
      <c r="J89" s="5"/>
    </row>
    <row r="90" spans="1:10" x14ac:dyDescent="0.25">
      <c r="A90" s="5" t="s">
        <v>84</v>
      </c>
      <c r="B90" s="5" t="s">
        <v>67</v>
      </c>
      <c r="C90" s="6">
        <v>1</v>
      </c>
      <c r="D90" s="6">
        <v>30</v>
      </c>
      <c r="E90" s="6">
        <v>73.66</v>
      </c>
      <c r="F90" s="6">
        <v>149.85999999999999</v>
      </c>
      <c r="G90" s="6">
        <v>10</v>
      </c>
      <c r="H90" s="5"/>
      <c r="I90" s="5"/>
      <c r="J90" s="5"/>
    </row>
    <row r="91" spans="1:10" x14ac:dyDescent="0.25">
      <c r="A91" s="5" t="s">
        <v>84</v>
      </c>
      <c r="B91" s="5" t="s">
        <v>73</v>
      </c>
      <c r="C91" s="6">
        <v>1</v>
      </c>
      <c r="D91" s="6">
        <v>30</v>
      </c>
      <c r="E91" s="6">
        <v>73.66</v>
      </c>
      <c r="F91" s="6">
        <v>149.85999999999999</v>
      </c>
      <c r="G91" s="6">
        <v>10</v>
      </c>
      <c r="H91" s="5"/>
      <c r="I91" s="5"/>
      <c r="J91" s="5"/>
    </row>
    <row r="92" spans="1:10" x14ac:dyDescent="0.25">
      <c r="A92" s="5" t="s">
        <v>84</v>
      </c>
      <c r="B92" s="5" t="s">
        <v>82</v>
      </c>
      <c r="C92" s="6">
        <v>1</v>
      </c>
      <c r="D92" s="6">
        <v>30</v>
      </c>
      <c r="E92" s="6">
        <v>73.66</v>
      </c>
      <c r="F92" s="6">
        <v>149.85999999999999</v>
      </c>
      <c r="G92" s="6">
        <v>10</v>
      </c>
      <c r="H92" s="5"/>
      <c r="I92" s="5"/>
      <c r="J92" s="5"/>
    </row>
    <row r="93" spans="1:10" x14ac:dyDescent="0.25">
      <c r="A93" s="5" t="s">
        <v>84</v>
      </c>
      <c r="B93" s="5" t="s">
        <v>57</v>
      </c>
      <c r="C93" s="6">
        <v>1</v>
      </c>
      <c r="D93" s="6">
        <v>30</v>
      </c>
      <c r="E93" s="6">
        <v>73.66</v>
      </c>
      <c r="F93" s="6">
        <v>149.85999999999999</v>
      </c>
      <c r="G93" s="6">
        <v>10</v>
      </c>
      <c r="H93" s="5"/>
      <c r="I93" s="5"/>
      <c r="J93" s="5"/>
    </row>
    <row r="94" spans="1:10" x14ac:dyDescent="0.25">
      <c r="A94" s="5" t="s">
        <v>84</v>
      </c>
      <c r="B94" s="5" t="s">
        <v>56</v>
      </c>
      <c r="C94" s="6">
        <v>1</v>
      </c>
      <c r="D94" s="6">
        <v>30</v>
      </c>
      <c r="E94" s="6">
        <v>73.66</v>
      </c>
      <c r="F94" s="6">
        <v>149.85999999999999</v>
      </c>
      <c r="G94" s="6">
        <v>10</v>
      </c>
      <c r="H94" s="5"/>
      <c r="I94" s="5"/>
      <c r="J94" s="5"/>
    </row>
    <row r="95" spans="1:10" x14ac:dyDescent="0.25">
      <c r="A95" s="5" t="s">
        <v>84</v>
      </c>
      <c r="B95" s="5" t="s">
        <v>56</v>
      </c>
      <c r="C95" s="6">
        <v>1</v>
      </c>
      <c r="D95" s="6">
        <v>30</v>
      </c>
      <c r="E95" s="6">
        <v>73.66</v>
      </c>
      <c r="F95" s="6">
        <v>149.85999999999999</v>
      </c>
      <c r="G95" s="6">
        <v>10</v>
      </c>
      <c r="H95" s="5"/>
      <c r="I95" s="5"/>
      <c r="J95" s="5"/>
    </row>
    <row r="96" spans="1:10" x14ac:dyDescent="0.25">
      <c r="A96" s="5" t="s">
        <v>84</v>
      </c>
      <c r="B96" s="5" t="s">
        <v>72</v>
      </c>
      <c r="C96" s="6">
        <v>1</v>
      </c>
      <c r="D96" s="6">
        <v>30</v>
      </c>
      <c r="E96" s="6">
        <v>73.66</v>
      </c>
      <c r="F96" s="6">
        <v>149.85999999999999</v>
      </c>
      <c r="G96" s="6">
        <v>10</v>
      </c>
      <c r="H96" s="5"/>
      <c r="I96" s="5"/>
      <c r="J96" s="5"/>
    </row>
    <row r="97" spans="1:10" x14ac:dyDescent="0.25">
      <c r="A97" s="5" t="s">
        <v>84</v>
      </c>
      <c r="B97" s="5" t="s">
        <v>72</v>
      </c>
      <c r="C97" s="6">
        <v>1</v>
      </c>
      <c r="D97" s="6">
        <v>30</v>
      </c>
      <c r="E97" s="6">
        <v>73.66</v>
      </c>
      <c r="F97" s="6">
        <v>149.85999999999999</v>
      </c>
      <c r="G97" s="6">
        <v>10</v>
      </c>
      <c r="H97" s="5"/>
      <c r="I97" s="5"/>
      <c r="J97" s="5"/>
    </row>
  </sheetData>
  <mergeCells count="5">
    <mergeCell ref="A1:J1"/>
    <mergeCell ref="A2:A3"/>
    <mergeCell ref="B2:B3"/>
    <mergeCell ref="C2:C3"/>
    <mergeCell ref="D3:F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7D30-B00E-4433-A5DA-CE055D0479E0}">
  <dimension ref="A1:P109"/>
  <sheetViews>
    <sheetView zoomScaleNormal="100" workbookViewId="0">
      <selection activeCell="F14" sqref="F14"/>
    </sheetView>
  </sheetViews>
  <sheetFormatPr baseColWidth="10" defaultRowHeight="15" x14ac:dyDescent="0.25"/>
  <cols>
    <col min="1" max="1" width="39.5703125" customWidth="1"/>
    <col min="2" max="2" width="28.5703125" customWidth="1"/>
    <col min="3" max="3" width="13.28515625" customWidth="1"/>
    <col min="4" max="4" width="18.140625" customWidth="1"/>
    <col min="5" max="5" width="20.140625" bestFit="1" customWidth="1"/>
    <col min="6" max="8" width="11.42578125" customWidth="1"/>
    <col min="9" max="9" width="30.42578125" customWidth="1"/>
    <col min="10" max="14" width="13.28515625" customWidth="1"/>
  </cols>
  <sheetData>
    <row r="1" spans="1:16" ht="15.75" x14ac:dyDescent="0.25">
      <c r="A1" s="9" t="s">
        <v>113</v>
      </c>
      <c r="D1" t="s">
        <v>137</v>
      </c>
      <c r="F1" t="s">
        <v>136</v>
      </c>
    </row>
    <row r="2" spans="1:16" x14ac:dyDescent="0.25">
      <c r="A2" s="15" t="s">
        <v>118</v>
      </c>
    </row>
    <row r="3" spans="1:16" x14ac:dyDescent="0.25">
      <c r="A3" s="10" t="s">
        <v>1</v>
      </c>
      <c r="B3" s="10" t="s">
        <v>111</v>
      </c>
      <c r="C3" s="10" t="s">
        <v>119</v>
      </c>
      <c r="D3" s="10" t="s">
        <v>123</v>
      </c>
      <c r="E3" s="10" t="s">
        <v>124</v>
      </c>
      <c r="F3" s="10" t="s">
        <v>100</v>
      </c>
      <c r="G3" s="10" t="s">
        <v>99</v>
      </c>
      <c r="H3" s="10" t="s">
        <v>114</v>
      </c>
      <c r="I3" s="10" t="s">
        <v>2</v>
      </c>
      <c r="J3" s="10" t="s">
        <v>3</v>
      </c>
      <c r="K3" s="11" t="s">
        <v>102</v>
      </c>
      <c r="L3" s="11" t="s">
        <v>103</v>
      </c>
      <c r="M3" s="11" t="s">
        <v>104</v>
      </c>
      <c r="N3" s="16" t="s">
        <v>7</v>
      </c>
    </row>
    <row r="4" spans="1:16" x14ac:dyDescent="0.25">
      <c r="A4" s="22" t="s">
        <v>140</v>
      </c>
      <c r="B4" s="7" t="s">
        <v>94</v>
      </c>
      <c r="C4" s="22" t="s">
        <v>138</v>
      </c>
      <c r="D4" s="22" t="s">
        <v>130</v>
      </c>
      <c r="E4" s="22" t="s">
        <v>130</v>
      </c>
      <c r="F4" s="14">
        <f>IF($B4="","",IFERROR(INDEX('Base de Datos'!$C$6:$C$103,MATCH($B4,'Base de Datos'!$J$6:$J$103,0)),""))</f>
        <v>155.19399999999999</v>
      </c>
      <c r="G4" s="23">
        <v>2743.2</v>
      </c>
      <c r="H4" s="23">
        <v>1028.56</v>
      </c>
      <c r="I4" s="17" t="str">
        <f t="shared" ref="I4:I49" si="0">IF(AND($C4="",$D4=""),"",$C4&amp;" - "&amp;$D4)</f>
        <v>A - Marcos</v>
      </c>
      <c r="J4" s="21">
        <v>1</v>
      </c>
      <c r="K4" s="14">
        <f>IF($F4="","",($F4+'Base de Datos'!$B$2)/10)</f>
        <v>18.519399999999997</v>
      </c>
      <c r="L4" s="14">
        <f>IF($G4="","",($G4+'Base de Datos'!$B$2)/10)</f>
        <v>277.32</v>
      </c>
      <c r="M4" s="14">
        <f>IF($H4="","",($H4+'Base de Datos'!$B$2)/10)</f>
        <v>105.85599999999999</v>
      </c>
      <c r="N4" s="18"/>
    </row>
    <row r="5" spans="1:16" x14ac:dyDescent="0.25">
      <c r="A5" s="22" t="s">
        <v>140</v>
      </c>
      <c r="B5" s="7" t="s">
        <v>94</v>
      </c>
      <c r="C5" s="22" t="s">
        <v>138</v>
      </c>
      <c r="D5" s="22" t="s">
        <v>130</v>
      </c>
      <c r="E5" s="22" t="s">
        <v>130</v>
      </c>
      <c r="F5" s="14">
        <f>IF($B5="","",IFERROR(INDEX('Base de Datos'!$C$6:$C$103,MATCH($B5,'Base de Datos'!$J$6:$J$103,0)),""))</f>
        <v>155.19399999999999</v>
      </c>
      <c r="G5" s="23">
        <v>2743.2</v>
      </c>
      <c r="H5" s="23">
        <v>1039.06</v>
      </c>
      <c r="I5" s="17" t="str">
        <f t="shared" si="0"/>
        <v>A - Marcos</v>
      </c>
      <c r="J5" s="21">
        <v>1</v>
      </c>
      <c r="K5" s="14">
        <f>IF($F5="","",($F5+'Base de Datos'!$B$2)/10)</f>
        <v>18.519399999999997</v>
      </c>
      <c r="L5" s="14">
        <f>IF($G5="","",($G5+'Base de Datos'!$B$2)/10)</f>
        <v>277.32</v>
      </c>
      <c r="M5" s="14">
        <f>IF($H5="","",($H5+'Base de Datos'!$B$2)/10)</f>
        <v>106.90599999999999</v>
      </c>
    </row>
    <row r="6" spans="1:16" x14ac:dyDescent="0.25">
      <c r="A6" s="22" t="s">
        <v>140</v>
      </c>
      <c r="B6" s="7" t="s">
        <v>94</v>
      </c>
      <c r="C6" s="22" t="s">
        <v>138</v>
      </c>
      <c r="D6" s="22" t="s">
        <v>130</v>
      </c>
      <c r="E6" s="22" t="s">
        <v>130</v>
      </c>
      <c r="F6" s="14">
        <f>IF($B6="","",IFERROR(INDEX('Base de Datos'!$C$6:$C$103,MATCH($B6,'Base de Datos'!$J$6:$J$103,0)),""))</f>
        <v>155.19399999999999</v>
      </c>
      <c r="G6" s="23">
        <v>2743.2</v>
      </c>
      <c r="H6" s="23">
        <v>1045.76</v>
      </c>
      <c r="I6" s="17" t="str">
        <f t="shared" si="0"/>
        <v>A - Marcos</v>
      </c>
      <c r="J6" s="21">
        <v>1</v>
      </c>
      <c r="K6" s="14">
        <f>IF($F6="","",($F6+'Base de Datos'!$B$2)/10)</f>
        <v>18.519399999999997</v>
      </c>
      <c r="L6" s="14">
        <f>IF($G6="","",($G6+'Base de Datos'!$B$2)/10)</f>
        <v>277.32</v>
      </c>
      <c r="M6" s="14">
        <f>IF($H6="","",($H6+'Base de Datos'!$B$2)/10)</f>
        <v>107.57599999999999</v>
      </c>
      <c r="N6" s="18"/>
    </row>
    <row r="7" spans="1:16" x14ac:dyDescent="0.25">
      <c r="A7" s="22" t="s">
        <v>140</v>
      </c>
      <c r="B7" s="7" t="s">
        <v>94</v>
      </c>
      <c r="C7" s="22" t="s">
        <v>138</v>
      </c>
      <c r="D7" s="22" t="s">
        <v>130</v>
      </c>
      <c r="E7" s="22" t="s">
        <v>130</v>
      </c>
      <c r="F7" s="14">
        <f>IF($B7="","",IFERROR(INDEX('Base de Datos'!$C$6:$C$103,MATCH($B7,'Base de Datos'!$J$6:$J$103,0)),""))</f>
        <v>155.19399999999999</v>
      </c>
      <c r="G7" s="23">
        <v>2743.2</v>
      </c>
      <c r="H7" s="23">
        <v>1045.76</v>
      </c>
      <c r="I7" s="17" t="str">
        <f t="shared" si="0"/>
        <v>A - Marcos</v>
      </c>
      <c r="J7" s="21">
        <v>1</v>
      </c>
      <c r="K7" s="14">
        <f>IF($F7="","",($F7+'Base de Datos'!$B$2)/10)</f>
        <v>18.519399999999997</v>
      </c>
      <c r="L7" s="14">
        <f>IF($G7="","",($G7+'Base de Datos'!$B$2)/10)</f>
        <v>277.32</v>
      </c>
      <c r="M7" s="14">
        <f>IF($H7="","",($H7+'Base de Datos'!$B$2)/10)</f>
        <v>107.57599999999999</v>
      </c>
      <c r="N7" s="18"/>
    </row>
    <row r="8" spans="1:16" x14ac:dyDescent="0.25">
      <c r="A8" s="22" t="s">
        <v>140</v>
      </c>
      <c r="B8" s="24" t="s">
        <v>87</v>
      </c>
      <c r="C8" s="22" t="s">
        <v>141</v>
      </c>
      <c r="D8" s="22" t="s">
        <v>130</v>
      </c>
      <c r="E8" s="22" t="s">
        <v>130</v>
      </c>
      <c r="F8" s="14">
        <f>IF($B8="","",IFERROR(INDEX('Base de Datos'!$C$6:$C$103,MATCH($B8,'Base de Datos'!$J$6:$J$103,0)),""))</f>
        <v>80.009999999999991</v>
      </c>
      <c r="G8" s="23">
        <v>1676.4</v>
      </c>
      <c r="H8" s="23">
        <v>1016</v>
      </c>
      <c r="I8" s="17" t="str">
        <f t="shared" si="0"/>
        <v>B - Marcos</v>
      </c>
      <c r="J8" s="21">
        <v>1</v>
      </c>
      <c r="K8" s="14">
        <f>IF($F8="","",($F8+'Base de Datos'!$B$2)/10)</f>
        <v>11.000999999999999</v>
      </c>
      <c r="L8" s="14">
        <f>IF($G8="","",($G8+'Base de Datos'!$B$2)/10)</f>
        <v>170.64000000000001</v>
      </c>
      <c r="M8" s="14">
        <f>IF($H8="","",($H8+'Base de Datos'!$B$2)/10)</f>
        <v>104.6</v>
      </c>
      <c r="N8" s="18"/>
      <c r="O8" t="s">
        <v>106</v>
      </c>
      <c r="P8">
        <v>152.5</v>
      </c>
    </row>
    <row r="9" spans="1:16" x14ac:dyDescent="0.25">
      <c r="A9" s="22" t="s">
        <v>140</v>
      </c>
      <c r="B9" s="22" t="s">
        <v>87</v>
      </c>
      <c r="C9" s="22" t="s">
        <v>141</v>
      </c>
      <c r="D9" s="22" t="s">
        <v>130</v>
      </c>
      <c r="E9" s="22" t="s">
        <v>130</v>
      </c>
      <c r="F9" s="14">
        <f>IF($B9="","",IFERROR(INDEX('Base de Datos'!$C$6:$C$103,MATCH($B9,'Base de Datos'!$J$6:$J$103,0)),""))</f>
        <v>80.009999999999991</v>
      </c>
      <c r="G9" s="23">
        <v>1676.4</v>
      </c>
      <c r="H9" s="23">
        <v>1016</v>
      </c>
      <c r="I9" s="17" t="str">
        <f t="shared" si="0"/>
        <v>B - Marcos</v>
      </c>
      <c r="J9" s="21">
        <v>1</v>
      </c>
      <c r="K9" s="14">
        <f>IF($F9="","",($F9+'Base de Datos'!$B$2)/10)</f>
        <v>11.000999999999999</v>
      </c>
      <c r="L9" s="14">
        <f>IF($G9="","",($G9+'Base de Datos'!$B$2)/10)</f>
        <v>170.64000000000001</v>
      </c>
      <c r="M9" s="14">
        <f>IF($H9="","",($H9+'Base de Datos'!$B$2)/10)</f>
        <v>104.6</v>
      </c>
      <c r="N9" s="18"/>
      <c r="O9" t="s">
        <v>107</v>
      </c>
      <c r="P9">
        <v>152.5</v>
      </c>
    </row>
    <row r="10" spans="1:16" x14ac:dyDescent="0.25">
      <c r="A10" s="22" t="s">
        <v>140</v>
      </c>
      <c r="B10" s="22" t="s">
        <v>87</v>
      </c>
      <c r="C10" s="22" t="s">
        <v>141</v>
      </c>
      <c r="D10" s="22" t="s">
        <v>130</v>
      </c>
      <c r="E10" s="22" t="s">
        <v>130</v>
      </c>
      <c r="F10" s="14">
        <f>IF($B10="","",IFERROR(INDEX('Base de Datos'!$C$6:$C$103,MATCH($B10,'Base de Datos'!$J$6:$J$103,0)),""))</f>
        <v>80.009999999999991</v>
      </c>
      <c r="G10" s="23">
        <v>1676.4</v>
      </c>
      <c r="H10" s="23">
        <v>1016</v>
      </c>
      <c r="I10" s="17" t="str">
        <f t="shared" si="0"/>
        <v>B - Marcos</v>
      </c>
      <c r="J10" s="21">
        <v>1</v>
      </c>
      <c r="K10" s="14">
        <f>IF($F10="","",($F10+'Base de Datos'!$B$2)/10)</f>
        <v>11.000999999999999</v>
      </c>
      <c r="L10" s="14">
        <f>IF($G10="","",($G10+'Base de Datos'!$B$2)/10)</f>
        <v>170.64000000000001</v>
      </c>
      <c r="M10" s="14">
        <f>IF($H10="","",($H10+'Base de Datos'!$B$2)/10)</f>
        <v>104.6</v>
      </c>
      <c r="N10" s="18"/>
      <c r="O10" t="s">
        <v>108</v>
      </c>
      <c r="P10">
        <v>171.6</v>
      </c>
    </row>
    <row r="11" spans="1:16" x14ac:dyDescent="0.25">
      <c r="A11" s="22" t="s">
        <v>140</v>
      </c>
      <c r="B11" s="22" t="s">
        <v>87</v>
      </c>
      <c r="C11" s="22" t="s">
        <v>141</v>
      </c>
      <c r="D11" s="22" t="s">
        <v>130</v>
      </c>
      <c r="E11" s="22" t="s">
        <v>130</v>
      </c>
      <c r="F11" s="14">
        <f>IF($B11="","",IFERROR(INDEX('Base de Datos'!$C$6:$C$103,MATCH($B11,'Base de Datos'!$J$6:$J$103,0)),""))</f>
        <v>80.009999999999991</v>
      </c>
      <c r="G11" s="23">
        <v>1676.4</v>
      </c>
      <c r="H11" s="23">
        <v>1016</v>
      </c>
      <c r="I11" s="17" t="str">
        <f t="shared" si="0"/>
        <v>B - Marcos</v>
      </c>
      <c r="J11" s="21">
        <v>1</v>
      </c>
      <c r="K11" s="14">
        <f>IF($F11="","",($F11+'Base de Datos'!$B$2)/10)</f>
        <v>11.000999999999999</v>
      </c>
      <c r="L11" s="14">
        <f>IF($G11="","",($G11+'Base de Datos'!$B$2)/10)</f>
        <v>170.64000000000001</v>
      </c>
      <c r="M11" s="14">
        <f>IF($H11="","",($H11+'Base de Datos'!$B$2)/10)</f>
        <v>104.6</v>
      </c>
      <c r="N11" s="18"/>
    </row>
    <row r="12" spans="1:16" x14ac:dyDescent="0.25">
      <c r="A12" s="22" t="s">
        <v>140</v>
      </c>
      <c r="B12" s="22" t="s">
        <v>87</v>
      </c>
      <c r="C12" s="22" t="s">
        <v>141</v>
      </c>
      <c r="D12" s="22" t="s">
        <v>130</v>
      </c>
      <c r="E12" s="22" t="s">
        <v>130</v>
      </c>
      <c r="F12" s="14">
        <f>IF($B12="","",IFERROR(INDEX('Base de Datos'!$C$6:$C$103,MATCH($B12,'Base de Datos'!$J$6:$J$103,0)),""))</f>
        <v>80.009999999999991</v>
      </c>
      <c r="G12" s="23">
        <v>1676.4</v>
      </c>
      <c r="H12" s="23">
        <v>1016</v>
      </c>
      <c r="I12" s="17" t="str">
        <f t="shared" si="0"/>
        <v>B - Marcos</v>
      </c>
      <c r="J12" s="21">
        <v>1</v>
      </c>
      <c r="K12" s="14">
        <f>IF($F12="","",($F12+'Base de Datos'!$B$2)/10)</f>
        <v>11.000999999999999</v>
      </c>
      <c r="L12" s="14">
        <f>IF($G12="","",($G12+'Base de Datos'!$B$2)/10)</f>
        <v>170.64000000000001</v>
      </c>
      <c r="M12" s="14">
        <f>IF($H12="","",($H12+'Base de Datos'!$B$2)/10)</f>
        <v>104.6</v>
      </c>
      <c r="N12" s="18"/>
    </row>
    <row r="13" spans="1:16" x14ac:dyDescent="0.25">
      <c r="A13" s="22" t="s">
        <v>140</v>
      </c>
      <c r="B13" s="7" t="s">
        <v>91</v>
      </c>
      <c r="C13" s="22" t="s">
        <v>142</v>
      </c>
      <c r="D13" s="22" t="s">
        <v>130</v>
      </c>
      <c r="E13" s="22" t="s">
        <v>130</v>
      </c>
      <c r="F13" s="14">
        <f>IF($B13="","",IFERROR(INDEX('Base de Datos'!$C$6:$C$103,MATCH($B13,'Base de Datos'!$J$6:$J$103,0)),""))</f>
        <v>150.36799999999999</v>
      </c>
      <c r="G13" s="23">
        <v>1676.4</v>
      </c>
      <c r="H13" s="23">
        <v>1016</v>
      </c>
      <c r="I13" s="17" t="str">
        <f t="shared" si="0"/>
        <v>C - Marcos</v>
      </c>
      <c r="J13" s="21">
        <v>1</v>
      </c>
      <c r="K13" s="14">
        <f>IF($F13="","",($F13+'Base de Datos'!$B$2)/10)</f>
        <v>18.036799999999999</v>
      </c>
      <c r="L13" s="14">
        <f>IF($G13="","",($G13+'Base de Datos'!$B$2)/10)</f>
        <v>170.64000000000001</v>
      </c>
      <c r="M13" s="14">
        <f>IF($H13="","",($H13+'Base de Datos'!$B$2)/10)</f>
        <v>104.6</v>
      </c>
      <c r="N13" s="18"/>
    </row>
    <row r="14" spans="1:16" x14ac:dyDescent="0.25">
      <c r="A14" s="22" t="s">
        <v>140</v>
      </c>
      <c r="B14" s="7" t="s">
        <v>89</v>
      </c>
      <c r="C14" s="22" t="s">
        <v>143</v>
      </c>
      <c r="D14" s="22" t="s">
        <v>130</v>
      </c>
      <c r="E14" s="22" t="s">
        <v>130</v>
      </c>
      <c r="F14" s="14">
        <f>IF($B14="","",IFERROR(INDEX('Base de Datos'!$C$6:$C$103,MATCH($B14,'Base de Datos'!$J$6:$J$103,0)),""))</f>
        <v>109.21999999999998</v>
      </c>
      <c r="G14" s="23">
        <v>1524</v>
      </c>
      <c r="H14" s="23">
        <v>609.6</v>
      </c>
      <c r="I14" s="17" t="str">
        <f t="shared" si="0"/>
        <v>D - Marcos</v>
      </c>
      <c r="J14" s="21">
        <v>1</v>
      </c>
      <c r="K14" s="14">
        <f>IF($F14="","",($F14+'Base de Datos'!$B$2)/10)</f>
        <v>13.921999999999997</v>
      </c>
      <c r="L14" s="14">
        <f>IF($G14="","",($G14+'Base de Datos'!$B$2)/10)</f>
        <v>155.4</v>
      </c>
      <c r="M14" s="14">
        <f>IF($H14="","",($H14+'Base de Datos'!$B$2)/10)</f>
        <v>63.96</v>
      </c>
      <c r="N14" s="18"/>
    </row>
    <row r="15" spans="1:16" x14ac:dyDescent="0.25">
      <c r="A15" s="22" t="s">
        <v>140</v>
      </c>
      <c r="B15" s="22" t="s">
        <v>139</v>
      </c>
      <c r="C15" s="22" t="s">
        <v>144</v>
      </c>
      <c r="D15" s="22" t="s">
        <v>130</v>
      </c>
      <c r="E15" s="22" t="s">
        <v>130</v>
      </c>
      <c r="F15" s="14" t="str">
        <f>IF($B15="","",IFERROR(INDEX('Base de Datos'!$C$6:$C$103,MATCH($B15,'Base de Datos'!$J$6:$J$103,0)),""))</f>
        <v/>
      </c>
      <c r="G15" s="23">
        <v>2743.2</v>
      </c>
      <c r="H15" s="23">
        <v>1574.8</v>
      </c>
      <c r="I15" s="17" t="str">
        <f t="shared" si="0"/>
        <v>D1 - Marcos</v>
      </c>
      <c r="J15" s="21">
        <v>1</v>
      </c>
      <c r="K15" s="14" t="str">
        <f>IF($F15="","",($F15+'Base de Datos'!$B$2)/10)</f>
        <v/>
      </c>
      <c r="L15" s="14">
        <f>IF($G15="","",($G15+'Base de Datos'!$B$2)/10)</f>
        <v>277.32</v>
      </c>
      <c r="M15" s="14">
        <f>IF($H15="","",($H15+'Base de Datos'!$B$2)/10)</f>
        <v>160.47999999999999</v>
      </c>
      <c r="N15" s="18"/>
    </row>
    <row r="16" spans="1:16" x14ac:dyDescent="0.25">
      <c r="A16" s="22" t="s">
        <v>140</v>
      </c>
      <c r="B16" s="22" t="s">
        <v>139</v>
      </c>
      <c r="C16" s="22" t="s">
        <v>144</v>
      </c>
      <c r="D16" s="22" t="s">
        <v>131</v>
      </c>
      <c r="E16" s="22" t="s">
        <v>131</v>
      </c>
      <c r="F16" s="14" t="str">
        <f>IF($B16="","",IFERROR(INDEX('Base de Datos'!$C$6:$C$103,MATCH($B16,'Base de Datos'!$J$6:$J$103,0)),""))</f>
        <v/>
      </c>
      <c r="G16" s="23">
        <v>2697.4</v>
      </c>
      <c r="H16" s="23">
        <v>749.15</v>
      </c>
      <c r="I16" s="17" t="str">
        <f t="shared" si="0"/>
        <v>D1 - Hojas</v>
      </c>
      <c r="J16" s="21">
        <v>1</v>
      </c>
      <c r="K16" s="14" t="str">
        <f>IF($F16="","",($F16+'Base de Datos'!$B$2)/10)</f>
        <v/>
      </c>
      <c r="L16" s="14">
        <f>IF($G16="","",($G16+'Base de Datos'!$B$2)/10)</f>
        <v>272.74</v>
      </c>
      <c r="M16" s="14">
        <f>IF($H16="","",($H16+'Base de Datos'!$B$2)/10)</f>
        <v>77.914999999999992</v>
      </c>
      <c r="N16" s="18"/>
    </row>
    <row r="17" spans="1:14" x14ac:dyDescent="0.25">
      <c r="A17" s="22" t="s">
        <v>140</v>
      </c>
      <c r="B17" s="8" t="s">
        <v>93</v>
      </c>
      <c r="C17" s="22" t="s">
        <v>145</v>
      </c>
      <c r="D17" t="s">
        <v>106</v>
      </c>
      <c r="E17" t="s">
        <v>106</v>
      </c>
      <c r="F17" s="14">
        <v>171.6</v>
      </c>
      <c r="G17" s="23">
        <v>2702.1</v>
      </c>
      <c r="H17" s="23">
        <v>1138.2</v>
      </c>
      <c r="I17" s="17" t="str">
        <f t="shared" si="0"/>
        <v>D12 - Hoja fija</v>
      </c>
      <c r="J17" s="21">
        <v>1</v>
      </c>
      <c r="K17" s="14">
        <f>IF($F17="","",($F17+'Base de Datos'!$B$2)/10)</f>
        <v>20.16</v>
      </c>
      <c r="L17" s="14">
        <f>IF($G17="","",($G17+'Base de Datos'!$B$2)/10)</f>
        <v>273.20999999999998</v>
      </c>
      <c r="M17" s="14">
        <f>IF($H17="","",($H17+'Base de Datos'!$B$2)/10)</f>
        <v>116.82000000000001</v>
      </c>
      <c r="N17" s="18"/>
    </row>
    <row r="18" spans="1:14" x14ac:dyDescent="0.25">
      <c r="A18" s="22" t="s">
        <v>140</v>
      </c>
      <c r="B18" s="8" t="s">
        <v>93</v>
      </c>
      <c r="C18" s="22" t="s">
        <v>145</v>
      </c>
      <c r="D18" s="22" t="s">
        <v>130</v>
      </c>
      <c r="E18" t="s">
        <v>130</v>
      </c>
      <c r="F18" s="14">
        <v>300</v>
      </c>
      <c r="G18" s="23">
        <v>300</v>
      </c>
      <c r="H18" s="23">
        <v>4521.2</v>
      </c>
      <c r="I18" s="17" t="str">
        <f t="shared" si="0"/>
        <v>D12 - Marcos</v>
      </c>
      <c r="J18" s="21">
        <v>1</v>
      </c>
      <c r="K18" s="14">
        <f>IF($F18="","",($F18+'Base de Datos'!$B$2)/10)</f>
        <v>33</v>
      </c>
      <c r="L18" s="14">
        <f>IF($G18="","",($G18+'Base de Datos'!$B$2)/10)</f>
        <v>33</v>
      </c>
      <c r="M18" s="14">
        <f>IF($H18="","",($H18+'Base de Datos'!$B$2)/10)</f>
        <v>455.12</v>
      </c>
      <c r="N18" s="18"/>
    </row>
    <row r="19" spans="1:14" x14ac:dyDescent="0.25">
      <c r="A19" s="22" t="s">
        <v>140</v>
      </c>
      <c r="B19" s="8" t="s">
        <v>93</v>
      </c>
      <c r="C19" s="22" t="s">
        <v>145</v>
      </c>
      <c r="D19" t="s">
        <v>107</v>
      </c>
      <c r="E19" t="s">
        <v>107</v>
      </c>
      <c r="F19" s="14">
        <v>152.5</v>
      </c>
      <c r="G19" s="23">
        <v>2702.1</v>
      </c>
      <c r="H19" s="23">
        <v>1130.9000000000001</v>
      </c>
      <c r="I19" s="17" t="str">
        <f t="shared" si="0"/>
        <v>D12 - Hoja Activa</v>
      </c>
      <c r="J19" s="21">
        <v>1</v>
      </c>
      <c r="K19" s="14">
        <f>IF($F19="","",($F19+'Base de Datos'!$B$2)/10)</f>
        <v>18.25</v>
      </c>
      <c r="L19" s="14">
        <f>IF($G19="","",($G19+'Base de Datos'!$B$2)/10)</f>
        <v>273.20999999999998</v>
      </c>
      <c r="M19" s="14">
        <f>IF($H19="","",($H19+'Base de Datos'!$B$2)/10)</f>
        <v>116.09</v>
      </c>
      <c r="N19" s="18"/>
    </row>
    <row r="20" spans="1:14" x14ac:dyDescent="0.25">
      <c r="A20" s="22" t="s">
        <v>140</v>
      </c>
      <c r="B20" s="8" t="s">
        <v>93</v>
      </c>
      <c r="C20" s="22" t="s">
        <v>145</v>
      </c>
      <c r="D20" s="22" t="s">
        <v>131</v>
      </c>
      <c r="E20" s="22" t="s">
        <v>131</v>
      </c>
      <c r="F20" s="14">
        <v>152.5</v>
      </c>
      <c r="G20" s="23">
        <v>2702.1</v>
      </c>
      <c r="H20" s="23">
        <v>1138.2</v>
      </c>
      <c r="I20" s="17" t="str">
        <f t="shared" si="0"/>
        <v>D12 - Hojas</v>
      </c>
      <c r="J20" s="21">
        <v>1</v>
      </c>
      <c r="K20" s="14">
        <f>IF($F20="","",($F20+'Base de Datos'!$B$2)/10)</f>
        <v>18.25</v>
      </c>
      <c r="L20" s="14">
        <f>IF($G20="","",($G20+'Base de Datos'!$B$2)/10)</f>
        <v>273.20999999999998</v>
      </c>
      <c r="M20" s="14">
        <f>IF($H20="","",($H20+'Base de Datos'!$B$2)/10)</f>
        <v>116.82000000000001</v>
      </c>
      <c r="N20" s="18"/>
    </row>
    <row r="21" spans="1:14" x14ac:dyDescent="0.25">
      <c r="A21" s="22" t="s">
        <v>140</v>
      </c>
      <c r="B21" s="8" t="s">
        <v>93</v>
      </c>
      <c r="C21" s="22" t="s">
        <v>145</v>
      </c>
      <c r="D21" s="22" t="s">
        <v>131</v>
      </c>
      <c r="E21" s="22" t="s">
        <v>131</v>
      </c>
      <c r="F21" s="14">
        <v>171.6</v>
      </c>
      <c r="G21" s="23">
        <v>2702.1</v>
      </c>
      <c r="H21" s="23">
        <v>1130.9000000000001</v>
      </c>
      <c r="I21" s="17" t="str">
        <f t="shared" si="0"/>
        <v>D12 - Hojas</v>
      </c>
      <c r="J21" s="21">
        <v>1</v>
      </c>
      <c r="K21" s="14">
        <f>IF($F21="","",($F21+'Base de Datos'!$B$2)/10)</f>
        <v>20.16</v>
      </c>
      <c r="L21" s="14">
        <f>IF($G21="","",($G21+'Base de Datos'!$B$2)/10)</f>
        <v>273.20999999999998</v>
      </c>
      <c r="M21" s="14">
        <f>IF($H21="","",($H21+'Base de Datos'!$B$2)/10)</f>
        <v>116.09</v>
      </c>
      <c r="N21" s="18"/>
    </row>
    <row r="22" spans="1:14" x14ac:dyDescent="0.25">
      <c r="A22" s="22" t="s">
        <v>140</v>
      </c>
      <c r="B22" s="8" t="s">
        <v>93</v>
      </c>
      <c r="C22" s="22" t="s">
        <v>146</v>
      </c>
      <c r="D22" s="22" t="s">
        <v>131</v>
      </c>
      <c r="E22" s="22" t="s">
        <v>131</v>
      </c>
      <c r="F22" s="14">
        <v>152.5</v>
      </c>
      <c r="G22" s="23">
        <v>2702.1</v>
      </c>
      <c r="H22" s="23">
        <v>960.4</v>
      </c>
      <c r="I22" s="17" t="str">
        <f t="shared" si="0"/>
        <v>D3 - Hojas</v>
      </c>
      <c r="J22" s="21">
        <v>1</v>
      </c>
      <c r="K22" s="14">
        <f>IF($F22="","",($F22+'Base de Datos'!$B$2)/10)</f>
        <v>18.25</v>
      </c>
      <c r="L22" s="14">
        <f>IF($G22="","",($G22+'Base de Datos'!$B$2)/10)</f>
        <v>273.20999999999998</v>
      </c>
      <c r="M22" s="14">
        <f>IF($H22="","",($H22+'Base de Datos'!$B$2)/10)</f>
        <v>99.039999999999992</v>
      </c>
      <c r="N22" s="18"/>
    </row>
    <row r="23" spans="1:14" x14ac:dyDescent="0.25">
      <c r="A23" s="22" t="s">
        <v>140</v>
      </c>
      <c r="B23" s="8" t="s">
        <v>93</v>
      </c>
      <c r="C23" s="22" t="s">
        <v>146</v>
      </c>
      <c r="D23" s="22" t="s">
        <v>131</v>
      </c>
      <c r="E23" s="22" t="s">
        <v>131</v>
      </c>
      <c r="F23" s="14">
        <v>152.5</v>
      </c>
      <c r="G23" s="23">
        <v>2702.1</v>
      </c>
      <c r="H23" s="23">
        <v>960.4</v>
      </c>
      <c r="I23" s="17" t="str">
        <f t="shared" si="0"/>
        <v>D3 - Hojas</v>
      </c>
      <c r="J23" s="21">
        <v>1</v>
      </c>
      <c r="K23" s="14">
        <f>IF($F23="","",($F23+'Base de Datos'!$B$2)/10)</f>
        <v>18.25</v>
      </c>
      <c r="L23" s="14">
        <f>IF($G23="","",($G23+'Base de Datos'!$B$2)/10)</f>
        <v>273.20999999999998</v>
      </c>
      <c r="M23" s="14">
        <f>IF($H23="","",($H23+'Base de Datos'!$B$2)/10)</f>
        <v>99.039999999999992</v>
      </c>
      <c r="N23" s="18"/>
    </row>
    <row r="24" spans="1:14" x14ac:dyDescent="0.25">
      <c r="A24" s="22" t="s">
        <v>140</v>
      </c>
      <c r="B24" s="8" t="s">
        <v>93</v>
      </c>
      <c r="C24" s="22" t="s">
        <v>146</v>
      </c>
      <c r="D24" s="22" t="s">
        <v>131</v>
      </c>
      <c r="E24" s="22" t="s">
        <v>131</v>
      </c>
      <c r="F24" s="14">
        <v>171.6</v>
      </c>
      <c r="G24" s="23">
        <v>2702.1</v>
      </c>
      <c r="H24" s="23">
        <v>953.1</v>
      </c>
      <c r="I24" s="17" t="str">
        <f t="shared" si="0"/>
        <v>D3 - Hojas</v>
      </c>
      <c r="J24" s="21">
        <v>1</v>
      </c>
      <c r="K24" s="14">
        <f>IF($F24="","",($F24+'Base de Datos'!$B$2)/10)</f>
        <v>20.16</v>
      </c>
      <c r="L24" s="14">
        <f>IF($G24="","",($G24+'Base de Datos'!$B$2)/10)</f>
        <v>273.20999999999998</v>
      </c>
      <c r="M24" s="14">
        <f>IF($H24="","",($H24+'Base de Datos'!$B$2)/10)</f>
        <v>98.31</v>
      </c>
      <c r="N24" s="18"/>
    </row>
    <row r="25" spans="1:14" x14ac:dyDescent="0.25">
      <c r="A25" s="22" t="s">
        <v>140</v>
      </c>
      <c r="B25" s="8" t="s">
        <v>93</v>
      </c>
      <c r="C25" s="22" t="s">
        <v>146</v>
      </c>
      <c r="D25" s="22" t="s">
        <v>131</v>
      </c>
      <c r="E25" s="22" t="s">
        <v>131</v>
      </c>
      <c r="F25" s="14">
        <v>171.6</v>
      </c>
      <c r="G25" s="23">
        <v>2702.1</v>
      </c>
      <c r="H25" s="23">
        <v>953.1</v>
      </c>
      <c r="I25" s="17" t="str">
        <f t="shared" si="0"/>
        <v>D3 - Hojas</v>
      </c>
      <c r="J25" s="21">
        <v>1</v>
      </c>
      <c r="K25" s="14">
        <f>IF($F25="","",($F25+'Base de Datos'!$B$2)/10)</f>
        <v>20.16</v>
      </c>
      <c r="L25" s="14">
        <f>IF($G25="","",($G25+'Base de Datos'!$B$2)/10)</f>
        <v>273.20999999999998</v>
      </c>
      <c r="M25" s="14">
        <f>IF($H25="","",($H25+'Base de Datos'!$B$2)/10)</f>
        <v>98.31</v>
      </c>
      <c r="N25" s="18"/>
    </row>
    <row r="26" spans="1:14" x14ac:dyDescent="0.25">
      <c r="A26" s="22" t="s">
        <v>140</v>
      </c>
      <c r="B26" s="8" t="s">
        <v>93</v>
      </c>
      <c r="C26" s="22" t="s">
        <v>146</v>
      </c>
      <c r="D26" s="22" t="s">
        <v>131</v>
      </c>
      <c r="E26" s="22" t="s">
        <v>131</v>
      </c>
      <c r="F26" s="14">
        <v>152.5</v>
      </c>
      <c r="G26" s="23">
        <v>2702.1</v>
      </c>
      <c r="H26" s="23">
        <v>953.1</v>
      </c>
      <c r="I26" s="17" t="str">
        <f t="shared" si="0"/>
        <v>D3 - Hojas</v>
      </c>
      <c r="J26" s="21">
        <v>1</v>
      </c>
      <c r="K26" s="14">
        <f>IF($F26="","",($F26+'Base de Datos'!$B$2)/10)</f>
        <v>18.25</v>
      </c>
      <c r="L26" s="14">
        <f>IF($G26="","",($G26+'Base de Datos'!$B$2)/10)</f>
        <v>273.20999999999998</v>
      </c>
      <c r="M26" s="14">
        <f>IF($H26="","",($H26+'Base de Datos'!$B$2)/10)</f>
        <v>98.31</v>
      </c>
      <c r="N26" s="18"/>
    </row>
    <row r="27" spans="1:14" x14ac:dyDescent="0.25">
      <c r="A27" s="22" t="s">
        <v>140</v>
      </c>
      <c r="B27" s="8" t="s">
        <v>93</v>
      </c>
      <c r="C27" s="22" t="s">
        <v>146</v>
      </c>
      <c r="D27" s="22" t="s">
        <v>131</v>
      </c>
      <c r="E27" s="22" t="s">
        <v>131</v>
      </c>
      <c r="F27" s="14">
        <v>152.5</v>
      </c>
      <c r="G27" s="23">
        <v>2702.1</v>
      </c>
      <c r="H27" s="23">
        <v>960.4</v>
      </c>
      <c r="I27" s="17" t="str">
        <f t="shared" si="0"/>
        <v>D3 - Hojas</v>
      </c>
      <c r="J27" s="21">
        <v>1</v>
      </c>
      <c r="K27" s="14">
        <f>IF($F27="","",($F27+'Base de Datos'!$B$2)/10)</f>
        <v>18.25</v>
      </c>
      <c r="L27" s="14">
        <f>IF($G27="","",($G27+'Base de Datos'!$B$2)/10)</f>
        <v>273.20999999999998</v>
      </c>
      <c r="M27" s="14">
        <f>IF($H27="","",($H27+'Base de Datos'!$B$2)/10)</f>
        <v>99.039999999999992</v>
      </c>
      <c r="N27" s="18"/>
    </row>
    <row r="28" spans="1:14" x14ac:dyDescent="0.25">
      <c r="A28" s="22" t="s">
        <v>140</v>
      </c>
      <c r="B28" s="8" t="s">
        <v>93</v>
      </c>
      <c r="C28" s="22" t="s">
        <v>146</v>
      </c>
      <c r="D28" s="22" t="s">
        <v>131</v>
      </c>
      <c r="E28" s="22" t="s">
        <v>131</v>
      </c>
      <c r="F28" s="14">
        <v>171.6</v>
      </c>
      <c r="G28" s="23">
        <v>2702.1</v>
      </c>
      <c r="H28" s="23">
        <v>960.4</v>
      </c>
      <c r="I28" s="17" t="str">
        <f t="shared" si="0"/>
        <v>D3 - Hojas</v>
      </c>
      <c r="J28" s="21">
        <v>1</v>
      </c>
      <c r="K28" s="14">
        <f>IF($F28="","",($F28+'Base de Datos'!$B$2)/10)</f>
        <v>20.16</v>
      </c>
      <c r="L28" s="14">
        <f>IF($G28="","",($G28+'Base de Datos'!$B$2)/10)</f>
        <v>273.20999999999998</v>
      </c>
      <c r="M28" s="14">
        <f>IF($H28="","",($H28+'Base de Datos'!$B$2)/10)</f>
        <v>99.039999999999992</v>
      </c>
      <c r="N28" s="18"/>
    </row>
    <row r="29" spans="1:14" x14ac:dyDescent="0.25">
      <c r="A29" s="22" t="s">
        <v>140</v>
      </c>
      <c r="B29" s="8" t="s">
        <v>93</v>
      </c>
      <c r="C29" s="22" t="s">
        <v>146</v>
      </c>
      <c r="D29" s="22" t="s">
        <v>131</v>
      </c>
      <c r="E29" s="22" t="s">
        <v>131</v>
      </c>
      <c r="F29" s="14">
        <v>171.6</v>
      </c>
      <c r="G29" s="23">
        <v>2702.1</v>
      </c>
      <c r="H29" s="23">
        <v>953.1</v>
      </c>
      <c r="I29" s="17" t="str">
        <f t="shared" si="0"/>
        <v>D3 - Hojas</v>
      </c>
      <c r="J29" s="21">
        <v>1</v>
      </c>
      <c r="K29" s="14">
        <f>IF($F29="","",($F29+'Base de Datos'!$B$2)/10)</f>
        <v>20.16</v>
      </c>
      <c r="L29" s="14">
        <f>IF($G29="","",($G29+'Base de Datos'!$B$2)/10)</f>
        <v>273.20999999999998</v>
      </c>
      <c r="M29" s="14">
        <f>IF($H29="","",($H29+'Base de Datos'!$B$2)/10)</f>
        <v>98.31</v>
      </c>
      <c r="N29" s="18"/>
    </row>
    <row r="30" spans="1:14" x14ac:dyDescent="0.25">
      <c r="A30" s="22" t="s">
        <v>140</v>
      </c>
      <c r="B30" s="22" t="s">
        <v>139</v>
      </c>
      <c r="C30" s="22" t="s">
        <v>147</v>
      </c>
      <c r="D30" s="22" t="s">
        <v>130</v>
      </c>
      <c r="E30" s="22" t="s">
        <v>130</v>
      </c>
      <c r="F30" s="14" t="str">
        <f>IF($B30="","",IFERROR(INDEX('Base de Datos'!$C$6:$C$103,MATCH($B30,'Base de Datos'!$J$6:$J$103,0)),""))</f>
        <v/>
      </c>
      <c r="G30" s="23">
        <v>2743.2</v>
      </c>
      <c r="H30" s="23">
        <v>1016</v>
      </c>
      <c r="I30" s="17" t="str">
        <f t="shared" si="0"/>
        <v>D4 - Marcos</v>
      </c>
      <c r="J30" s="21">
        <v>1</v>
      </c>
      <c r="K30" s="14" t="str">
        <f>IF($F30="","",($F30+'Base de Datos'!$B$2)/10)</f>
        <v/>
      </c>
      <c r="L30" s="14">
        <f>IF($G30="","",($G30+'Base de Datos'!$B$2)/10)</f>
        <v>277.32</v>
      </c>
      <c r="M30" s="14">
        <f>IF($H30="","",($H30+'Base de Datos'!$B$2)/10)</f>
        <v>104.6</v>
      </c>
      <c r="N30" s="18"/>
    </row>
    <row r="31" spans="1:14" x14ac:dyDescent="0.25">
      <c r="A31" s="22" t="s">
        <v>140</v>
      </c>
      <c r="B31" s="7" t="s">
        <v>89</v>
      </c>
      <c r="C31" s="22" t="s">
        <v>148</v>
      </c>
      <c r="D31" s="22" t="s">
        <v>130</v>
      </c>
      <c r="E31" s="22" t="s">
        <v>130</v>
      </c>
      <c r="F31" s="14">
        <f>IF($B31="","",IFERROR(INDEX('Base de Datos'!$C$6:$C$103,MATCH($B31,'Base de Datos'!$J$6:$J$103,0)),""))</f>
        <v>109.21999999999998</v>
      </c>
      <c r="G31" s="23">
        <v>1346.2</v>
      </c>
      <c r="H31" s="23">
        <v>908.05</v>
      </c>
      <c r="I31" s="17" t="str">
        <f t="shared" si="0"/>
        <v>E - Marcos</v>
      </c>
      <c r="J31" s="21">
        <v>1</v>
      </c>
      <c r="K31" s="14">
        <f>IF($F31="","",($F31+'Base de Datos'!$B$2)/10)</f>
        <v>13.921999999999997</v>
      </c>
      <c r="L31" s="14">
        <f>IF($G31="","",($G31+'Base de Datos'!$B$2)/10)</f>
        <v>137.62</v>
      </c>
      <c r="M31" s="14">
        <f>IF($H31="","",($H31+'Base de Datos'!$B$2)/10)</f>
        <v>93.804999999999993</v>
      </c>
      <c r="N31" s="18"/>
    </row>
    <row r="32" spans="1:14" x14ac:dyDescent="0.25">
      <c r="A32" s="22" t="s">
        <v>140</v>
      </c>
      <c r="B32" s="22" t="s">
        <v>87</v>
      </c>
      <c r="C32" s="22" t="s">
        <v>149</v>
      </c>
      <c r="D32" s="22" t="s">
        <v>130</v>
      </c>
      <c r="E32" s="22" t="s">
        <v>130</v>
      </c>
      <c r="F32" s="14">
        <f>IF($B32="","",IFERROR(INDEX('Base de Datos'!$C$6:$C$103,MATCH($B32,'Base de Datos'!$J$6:$J$103,0)),""))</f>
        <v>80.009999999999991</v>
      </c>
      <c r="G32" s="23">
        <v>1346.2</v>
      </c>
      <c r="H32" s="23">
        <v>1968.5</v>
      </c>
      <c r="I32" s="17" t="str">
        <f t="shared" si="0"/>
        <v>F - Marcos</v>
      </c>
      <c r="J32" s="21">
        <v>1</v>
      </c>
      <c r="K32" s="14">
        <f>IF($F32="","",($F32+'Base de Datos'!$B$2)/10)</f>
        <v>11.000999999999999</v>
      </c>
      <c r="L32" s="14">
        <f>IF($G32="","",($G32+'Base de Datos'!$B$2)/10)</f>
        <v>137.62</v>
      </c>
      <c r="M32" s="14">
        <f>IF($H32="","",($H32+'Base de Datos'!$B$2)/10)</f>
        <v>199.85</v>
      </c>
      <c r="N32" s="18"/>
    </row>
    <row r="33" spans="1:14" x14ac:dyDescent="0.25">
      <c r="A33" s="22" t="s">
        <v>140</v>
      </c>
      <c r="B33" s="22" t="s">
        <v>87</v>
      </c>
      <c r="C33" s="22" t="s">
        <v>150</v>
      </c>
      <c r="D33" s="22" t="s">
        <v>130</v>
      </c>
      <c r="E33" s="22" t="s">
        <v>130</v>
      </c>
      <c r="F33" s="14">
        <f>IF($B33="","",IFERROR(INDEX('Base de Datos'!$C$6:$C$103,MATCH($B33,'Base de Datos'!$J$6:$J$103,0)),""))</f>
        <v>80.009999999999991</v>
      </c>
      <c r="G33" s="23">
        <v>2108.1999999999998</v>
      </c>
      <c r="H33" s="23">
        <v>1676.4</v>
      </c>
      <c r="I33" s="17" t="str">
        <f t="shared" si="0"/>
        <v>G - Marcos</v>
      </c>
      <c r="J33" s="21">
        <v>1</v>
      </c>
      <c r="K33" s="14">
        <f>IF($F33="","",($F33+'Base de Datos'!$B$2)/10)</f>
        <v>11.000999999999999</v>
      </c>
      <c r="L33" s="14">
        <f>IF($G33="","",($G33+'Base de Datos'!$B$2)/10)</f>
        <v>213.82</v>
      </c>
      <c r="M33" s="14">
        <f>IF($H33="","",($H33+'Base de Datos'!$B$2)/10)</f>
        <v>170.64000000000001</v>
      </c>
      <c r="N33" s="18"/>
    </row>
    <row r="34" spans="1:14" x14ac:dyDescent="0.25">
      <c r="A34" s="22" t="s">
        <v>140</v>
      </c>
      <c r="B34" s="22" t="s">
        <v>87</v>
      </c>
      <c r="C34" s="22" t="s">
        <v>151</v>
      </c>
      <c r="D34" s="22" t="s">
        <v>130</v>
      </c>
      <c r="E34" s="22" t="s">
        <v>130</v>
      </c>
      <c r="F34" s="14">
        <f>IF($B34="","",IFERROR(INDEX('Base de Datos'!$C$6:$C$103,MATCH($B34,'Base de Datos'!$J$6:$J$103,0)),""))</f>
        <v>80.009999999999991</v>
      </c>
      <c r="G34" s="23">
        <v>2108.1999999999998</v>
      </c>
      <c r="H34" s="23">
        <v>1016</v>
      </c>
      <c r="I34" s="17" t="str">
        <f t="shared" si="0"/>
        <v>H - Marcos</v>
      </c>
      <c r="J34" s="21">
        <v>1</v>
      </c>
      <c r="K34" s="14">
        <f>IF($F34="","",($F34+'Base de Datos'!$B$2)/10)</f>
        <v>11.000999999999999</v>
      </c>
      <c r="L34" s="14">
        <f>IF($G34="","",($G34+'Base de Datos'!$B$2)/10)</f>
        <v>213.82</v>
      </c>
      <c r="M34" s="14">
        <f>IF($H34="","",($H34+'Base de Datos'!$B$2)/10)</f>
        <v>104.6</v>
      </c>
      <c r="N34" s="18"/>
    </row>
    <row r="35" spans="1:14" x14ac:dyDescent="0.25">
      <c r="A35" s="22" t="s">
        <v>140</v>
      </c>
      <c r="B35" s="22" t="s">
        <v>87</v>
      </c>
      <c r="C35" s="22" t="s">
        <v>151</v>
      </c>
      <c r="D35" s="22" t="s">
        <v>130</v>
      </c>
      <c r="E35" s="22" t="s">
        <v>130</v>
      </c>
      <c r="F35" s="14">
        <f>IF($B35="","",IFERROR(INDEX('Base de Datos'!$C$6:$C$103,MATCH($B35,'Base de Datos'!$J$6:$J$103,0)),""))</f>
        <v>80.009999999999991</v>
      </c>
      <c r="G35" s="23">
        <v>2108.1999999999998</v>
      </c>
      <c r="H35" s="23">
        <v>1016</v>
      </c>
      <c r="I35" s="17" t="str">
        <f t="shared" si="0"/>
        <v>H - Marcos</v>
      </c>
      <c r="J35" s="21">
        <v>1</v>
      </c>
      <c r="K35" s="14">
        <f>IF($F35="","",($F35+'Base de Datos'!$B$2)/10)</f>
        <v>11.000999999999999</v>
      </c>
      <c r="L35" s="14">
        <f>IF($G35="","",($G35+'Base de Datos'!$B$2)/10)</f>
        <v>213.82</v>
      </c>
      <c r="M35" s="14">
        <f>IF($H35="","",($H35+'Base de Datos'!$B$2)/10)</f>
        <v>104.6</v>
      </c>
      <c r="N35" s="18"/>
    </row>
    <row r="36" spans="1:14" x14ac:dyDescent="0.25">
      <c r="A36" s="22" t="s">
        <v>140</v>
      </c>
      <c r="B36" s="7" t="s">
        <v>89</v>
      </c>
      <c r="C36" s="22" t="s">
        <v>152</v>
      </c>
      <c r="D36" s="22" t="s">
        <v>130</v>
      </c>
      <c r="E36" s="22" t="s">
        <v>130</v>
      </c>
      <c r="F36" s="14">
        <f>IF($B36="","",IFERROR(INDEX('Base de Datos'!$C$6:$C$103,MATCH($B36,'Base de Datos'!$J$6:$J$103,0)),""))</f>
        <v>109.21999999999998</v>
      </c>
      <c r="G36" s="23">
        <v>1320.8</v>
      </c>
      <c r="H36" s="23">
        <v>1016</v>
      </c>
      <c r="I36" s="17" t="str">
        <f t="shared" si="0"/>
        <v>J - Marcos</v>
      </c>
      <c r="J36" s="21">
        <v>1</v>
      </c>
      <c r="K36" s="14">
        <f>IF($F36="","",($F36+'Base de Datos'!$B$2)/10)</f>
        <v>13.921999999999997</v>
      </c>
      <c r="L36" s="14">
        <f>IF($G36="","",($G36+'Base de Datos'!$B$2)/10)</f>
        <v>135.07999999999998</v>
      </c>
      <c r="M36" s="14">
        <f>IF($H36="","",($H36+'Base de Datos'!$B$2)/10)</f>
        <v>104.6</v>
      </c>
      <c r="N36" s="18"/>
    </row>
    <row r="37" spans="1:14" x14ac:dyDescent="0.25">
      <c r="A37" s="22" t="s">
        <v>140</v>
      </c>
      <c r="B37" s="22" t="s">
        <v>87</v>
      </c>
      <c r="C37" s="22" t="s">
        <v>153</v>
      </c>
      <c r="D37" s="22" t="s">
        <v>130</v>
      </c>
      <c r="E37" s="22" t="s">
        <v>130</v>
      </c>
      <c r="F37" s="14">
        <f>IF($B37="","",IFERROR(INDEX('Base de Datos'!$C$6:$C$103,MATCH($B37,'Base de Datos'!$J$6:$J$103,0)),""))</f>
        <v>80.009999999999991</v>
      </c>
      <c r="G37" s="23">
        <v>1320.8</v>
      </c>
      <c r="H37" s="23">
        <v>1016</v>
      </c>
      <c r="I37" s="17" t="str">
        <f t="shared" si="0"/>
        <v>K - Marcos</v>
      </c>
      <c r="J37" s="21">
        <v>1</v>
      </c>
      <c r="K37" s="14">
        <f>IF($F37="","",($F37+'Base de Datos'!$B$2)/10)</f>
        <v>11.000999999999999</v>
      </c>
      <c r="L37" s="14">
        <f>IF($G37="","",($G37+'Base de Datos'!$B$2)/10)</f>
        <v>135.07999999999998</v>
      </c>
      <c r="M37" s="14">
        <f>IF($H37="","",($H37+'Base de Datos'!$B$2)/10)</f>
        <v>104.6</v>
      </c>
      <c r="N37" s="18"/>
    </row>
    <row r="38" spans="1:14" x14ac:dyDescent="0.25">
      <c r="A38" s="22" t="s">
        <v>140</v>
      </c>
      <c r="B38" s="22" t="s">
        <v>87</v>
      </c>
      <c r="C38" s="22" t="s">
        <v>153</v>
      </c>
      <c r="D38" s="22" t="s">
        <v>130</v>
      </c>
      <c r="E38" s="22" t="s">
        <v>130</v>
      </c>
      <c r="F38" s="14">
        <f>IF($B38="","",IFERROR(INDEX('Base de Datos'!$C$6:$C$103,MATCH($B38,'Base de Datos'!$J$6:$J$103,0)),""))</f>
        <v>80.009999999999991</v>
      </c>
      <c r="G38" s="23">
        <v>1320.8</v>
      </c>
      <c r="H38" s="23">
        <v>1016</v>
      </c>
      <c r="I38" s="17" t="str">
        <f t="shared" si="0"/>
        <v>K - Marcos</v>
      </c>
      <c r="J38" s="21">
        <v>1</v>
      </c>
      <c r="K38" s="14">
        <f>IF($F38="","",($F38+'Base de Datos'!$B$2)/10)</f>
        <v>11.000999999999999</v>
      </c>
      <c r="L38" s="14">
        <f>IF($G38="","",($G38+'Base de Datos'!$B$2)/10)</f>
        <v>135.07999999999998</v>
      </c>
      <c r="M38" s="14">
        <f>IF($H38="","",($H38+'Base de Datos'!$B$2)/10)</f>
        <v>104.6</v>
      </c>
      <c r="N38" s="18"/>
    </row>
    <row r="39" spans="1:14" x14ac:dyDescent="0.25">
      <c r="A39" s="22" t="s">
        <v>140</v>
      </c>
      <c r="B39" s="22" t="s">
        <v>87</v>
      </c>
      <c r="C39" s="22" t="s">
        <v>153</v>
      </c>
      <c r="D39" s="22" t="s">
        <v>130</v>
      </c>
      <c r="E39" s="22" t="s">
        <v>130</v>
      </c>
      <c r="F39" s="14">
        <f>IF($B39="","",IFERROR(INDEX('Base de Datos'!$C$6:$C$103,MATCH($B39,'Base de Datos'!$J$6:$J$103,0)),""))</f>
        <v>80.009999999999991</v>
      </c>
      <c r="G39" s="23">
        <v>1320.8</v>
      </c>
      <c r="H39" s="23">
        <v>1016</v>
      </c>
      <c r="I39" s="17" t="str">
        <f t="shared" si="0"/>
        <v>K - Marcos</v>
      </c>
      <c r="J39" s="21">
        <v>1</v>
      </c>
      <c r="K39" s="14">
        <f>IF($F39="","",($F39+'Base de Datos'!$B$2)/10)</f>
        <v>11.000999999999999</v>
      </c>
      <c r="L39" s="14">
        <f>IF($G39="","",($G39+'Base de Datos'!$B$2)/10)</f>
        <v>135.07999999999998</v>
      </c>
      <c r="M39" s="14">
        <f>IF($H39="","",($H39+'Base de Datos'!$B$2)/10)</f>
        <v>104.6</v>
      </c>
      <c r="N39" s="18"/>
    </row>
    <row r="40" spans="1:14" x14ac:dyDescent="0.25">
      <c r="A40" s="22" t="s">
        <v>140</v>
      </c>
      <c r="B40" s="22" t="s">
        <v>87</v>
      </c>
      <c r="C40" s="22" t="s">
        <v>153</v>
      </c>
      <c r="D40" s="22" t="s">
        <v>130</v>
      </c>
      <c r="E40" s="22" t="s">
        <v>130</v>
      </c>
      <c r="F40" s="14">
        <f>IF($B40="","",IFERROR(INDEX('Base de Datos'!$C$6:$C$103,MATCH($B40,'Base de Datos'!$J$6:$J$103,0)),""))</f>
        <v>80.009999999999991</v>
      </c>
      <c r="G40" s="23">
        <v>1320.8</v>
      </c>
      <c r="H40" s="23">
        <v>1016</v>
      </c>
      <c r="I40" s="17" t="str">
        <f t="shared" si="0"/>
        <v>K - Marcos</v>
      </c>
      <c r="J40" s="21">
        <v>1</v>
      </c>
      <c r="K40" s="14">
        <f>IF($F40="","",($F40+'Base de Datos'!$B$2)/10)</f>
        <v>11.000999999999999</v>
      </c>
      <c r="L40" s="14">
        <f>IF($G40="","",($G40+'Base de Datos'!$B$2)/10)</f>
        <v>135.07999999999998</v>
      </c>
      <c r="M40" s="14">
        <f>IF($H40="","",($H40+'Base de Datos'!$B$2)/10)</f>
        <v>104.6</v>
      </c>
      <c r="N40" s="18"/>
    </row>
    <row r="41" spans="1:14" x14ac:dyDescent="0.25">
      <c r="A41" s="22" t="s">
        <v>140</v>
      </c>
      <c r="B41" s="22" t="s">
        <v>87</v>
      </c>
      <c r="C41" s="22" t="s">
        <v>153</v>
      </c>
      <c r="D41" s="22" t="s">
        <v>130</v>
      </c>
      <c r="E41" s="22" t="s">
        <v>130</v>
      </c>
      <c r="F41" s="14">
        <f>IF($B41="","",IFERROR(INDEX('Base de Datos'!$C$6:$C$103,MATCH($B41,'Base de Datos'!$J$6:$J$103,0)),""))</f>
        <v>80.009999999999991</v>
      </c>
      <c r="G41" s="23">
        <v>1320.8</v>
      </c>
      <c r="H41" s="23">
        <v>1016</v>
      </c>
      <c r="I41" s="17" t="str">
        <f t="shared" si="0"/>
        <v>K - Marcos</v>
      </c>
      <c r="J41" s="21">
        <v>1</v>
      </c>
      <c r="K41" s="14">
        <f>IF($F41="","",($F41+'Base de Datos'!$B$2)/10)</f>
        <v>11.000999999999999</v>
      </c>
      <c r="L41" s="14">
        <f>IF($G41="","",($G41+'Base de Datos'!$B$2)/10)</f>
        <v>135.07999999999998</v>
      </c>
      <c r="M41" s="14">
        <f>IF($H41="","",($H41+'Base de Datos'!$B$2)/10)</f>
        <v>104.6</v>
      </c>
      <c r="N41" s="18"/>
    </row>
    <row r="42" spans="1:14" x14ac:dyDescent="0.25">
      <c r="A42" s="22" t="s">
        <v>140</v>
      </c>
      <c r="B42" s="22" t="s">
        <v>87</v>
      </c>
      <c r="C42" s="22" t="s">
        <v>153</v>
      </c>
      <c r="D42" s="22" t="s">
        <v>130</v>
      </c>
      <c r="E42" s="22" t="s">
        <v>130</v>
      </c>
      <c r="F42" s="14">
        <f>IF($B42="","",IFERROR(INDEX('Base de Datos'!$C$6:$C$103,MATCH($B42,'Base de Datos'!$J$6:$J$103,0)),""))</f>
        <v>80.009999999999991</v>
      </c>
      <c r="G42" s="23">
        <v>1320.8</v>
      </c>
      <c r="H42" s="23">
        <v>1016</v>
      </c>
      <c r="I42" s="17" t="str">
        <f t="shared" si="0"/>
        <v>K - Marcos</v>
      </c>
      <c r="J42" s="21">
        <v>1</v>
      </c>
      <c r="K42" s="14">
        <f>IF($F42="","",($F42+'Base de Datos'!$B$2)/10)</f>
        <v>11.000999999999999</v>
      </c>
      <c r="L42" s="14">
        <f>IF($G42="","",($G42+'Base de Datos'!$B$2)/10)</f>
        <v>135.07999999999998</v>
      </c>
      <c r="M42" s="14">
        <f>IF($H42="","",($H42+'Base de Datos'!$B$2)/10)</f>
        <v>104.6</v>
      </c>
      <c r="N42" s="18"/>
    </row>
    <row r="43" spans="1:14" x14ac:dyDescent="0.25">
      <c r="A43" s="22" t="s">
        <v>140</v>
      </c>
      <c r="B43" s="22" t="s">
        <v>87</v>
      </c>
      <c r="C43" s="22" t="s">
        <v>153</v>
      </c>
      <c r="D43" s="22" t="s">
        <v>130</v>
      </c>
      <c r="E43" s="22" t="s">
        <v>130</v>
      </c>
      <c r="F43" s="14">
        <f>IF($B43="","",IFERROR(INDEX('Base de Datos'!$C$6:$C$103,MATCH($B43,'Base de Datos'!$J$6:$J$103,0)),""))</f>
        <v>80.009999999999991</v>
      </c>
      <c r="G43" s="23">
        <v>1320.8</v>
      </c>
      <c r="H43" s="23">
        <v>1016</v>
      </c>
      <c r="I43" s="17" t="str">
        <f t="shared" si="0"/>
        <v>K - Marcos</v>
      </c>
      <c r="J43" s="21">
        <v>1</v>
      </c>
      <c r="K43" s="14">
        <f>IF($F43="","",($F43+'Base de Datos'!$B$2)/10)</f>
        <v>11.000999999999999</v>
      </c>
      <c r="L43" s="14">
        <f>IF($G43="","",($G43+'Base de Datos'!$B$2)/10)</f>
        <v>135.07999999999998</v>
      </c>
      <c r="M43" s="14">
        <f>IF($H43="","",($H43+'Base de Datos'!$B$2)/10)</f>
        <v>104.6</v>
      </c>
      <c r="N43" s="18"/>
    </row>
    <row r="44" spans="1:14" x14ac:dyDescent="0.25">
      <c r="A44" s="22" t="s">
        <v>140</v>
      </c>
      <c r="B44" s="7" t="s">
        <v>89</v>
      </c>
      <c r="C44" s="22" t="s">
        <v>154</v>
      </c>
      <c r="D44" s="22" t="s">
        <v>130</v>
      </c>
      <c r="E44" s="22" t="s">
        <v>130</v>
      </c>
      <c r="F44" s="14">
        <f>IF($B44="","",IFERROR(INDEX('Base de Datos'!$C$6:$C$103,MATCH($B44,'Base de Datos'!$J$6:$J$103,0)),""))</f>
        <v>109.21999999999998</v>
      </c>
      <c r="G44" s="23">
        <v>1828.8</v>
      </c>
      <c r="H44" s="23">
        <v>609.6</v>
      </c>
      <c r="I44" s="17" t="str">
        <f t="shared" si="0"/>
        <v>M1 - Marcos</v>
      </c>
      <c r="J44" s="21">
        <v>1</v>
      </c>
      <c r="K44" s="14">
        <f>IF($F44="","",($F44+'Base de Datos'!$B$2)/10)</f>
        <v>13.921999999999997</v>
      </c>
      <c r="L44" s="14">
        <f>IF($G44="","",($G44+'Base de Datos'!$B$2)/10)</f>
        <v>185.88</v>
      </c>
      <c r="M44" s="14">
        <f>IF($H44="","",($H44+'Base de Datos'!$B$2)/10)</f>
        <v>63.96</v>
      </c>
      <c r="N44" s="18"/>
    </row>
    <row r="45" spans="1:14" x14ac:dyDescent="0.25">
      <c r="A45" s="22" t="s">
        <v>140</v>
      </c>
      <c r="B45" s="7" t="s">
        <v>89</v>
      </c>
      <c r="C45" s="22" t="s">
        <v>155</v>
      </c>
      <c r="D45" s="22" t="s">
        <v>130</v>
      </c>
      <c r="E45" s="22" t="s">
        <v>130</v>
      </c>
      <c r="F45" s="14">
        <f>IF($B45="","",IFERROR(INDEX('Base de Datos'!$C$6:$C$103,MATCH($B45,'Base de Datos'!$J$6:$J$103,0)),""))</f>
        <v>109.21999999999998</v>
      </c>
      <c r="G45" s="23">
        <v>1828.8</v>
      </c>
      <c r="H45" s="23">
        <v>609.6</v>
      </c>
      <c r="I45" s="17" t="str">
        <f t="shared" si="0"/>
        <v>M2 - Marcos</v>
      </c>
      <c r="J45" s="21">
        <v>1</v>
      </c>
      <c r="K45" s="14">
        <f>IF($F45="","",($F45+'Base de Datos'!$B$2)/10)</f>
        <v>13.921999999999997</v>
      </c>
      <c r="L45" s="14">
        <f>IF($G45="","",($G45+'Base de Datos'!$B$2)/10)</f>
        <v>185.88</v>
      </c>
      <c r="M45" s="14">
        <f>IF($H45="","",($H45+'Base de Datos'!$B$2)/10)</f>
        <v>63.96</v>
      </c>
      <c r="N45" s="18"/>
    </row>
    <row r="46" spans="1:14" x14ac:dyDescent="0.25">
      <c r="A46" s="22" t="s">
        <v>140</v>
      </c>
      <c r="B46" s="7" t="s">
        <v>89</v>
      </c>
      <c r="C46" s="22" t="s">
        <v>156</v>
      </c>
      <c r="D46" s="22" t="s">
        <v>130</v>
      </c>
      <c r="E46" s="22" t="s">
        <v>130</v>
      </c>
      <c r="F46" s="14">
        <f>IF($B46="","",IFERROR(INDEX('Base de Datos'!$C$6:$C$103,MATCH($B46,'Base de Datos'!$J$6:$J$103,0)),""))</f>
        <v>109.21999999999998</v>
      </c>
      <c r="G46" s="23">
        <v>1524</v>
      </c>
      <c r="H46" s="23">
        <v>609.6</v>
      </c>
      <c r="I46" s="17" t="str">
        <f t="shared" si="0"/>
        <v>N1 - Marcos</v>
      </c>
      <c r="J46" s="21">
        <v>1</v>
      </c>
      <c r="K46" s="14">
        <f>IF($F46="","",($F46+'Base de Datos'!$B$2)/10)</f>
        <v>13.921999999999997</v>
      </c>
      <c r="L46" s="14">
        <f>IF($G46="","",($G46+'Base de Datos'!$B$2)/10)</f>
        <v>155.4</v>
      </c>
      <c r="M46" s="14">
        <f>IF($H46="","",($H46+'Base de Datos'!$B$2)/10)</f>
        <v>63.96</v>
      </c>
      <c r="N46" s="18"/>
    </row>
    <row r="47" spans="1:14" x14ac:dyDescent="0.25">
      <c r="A47" s="22" t="s">
        <v>140</v>
      </c>
      <c r="B47" s="7" t="s">
        <v>89</v>
      </c>
      <c r="C47" s="22" t="s">
        <v>157</v>
      </c>
      <c r="D47" s="22" t="s">
        <v>130</v>
      </c>
      <c r="E47" s="22" t="s">
        <v>130</v>
      </c>
      <c r="F47" s="14">
        <f>IF($B47="","",IFERROR(INDEX('Base de Datos'!$C$6:$C$103,MATCH($B47,'Base de Datos'!$J$6:$J$103,0)),""))</f>
        <v>109.21999999999998</v>
      </c>
      <c r="G47" s="23">
        <v>1524</v>
      </c>
      <c r="H47" s="23">
        <v>609.6</v>
      </c>
      <c r="I47" s="17" t="str">
        <f t="shared" si="0"/>
        <v>N2 - Marcos</v>
      </c>
      <c r="J47" s="21">
        <v>1</v>
      </c>
      <c r="K47" s="14">
        <f>IF($F47="","",($F47+'Base de Datos'!$B$2)/10)</f>
        <v>13.921999999999997</v>
      </c>
      <c r="L47" s="14">
        <f>IF($G47="","",($G47+'Base de Datos'!$B$2)/10)</f>
        <v>155.4</v>
      </c>
      <c r="M47" s="14">
        <f>IF($H47="","",($H47+'Base de Datos'!$B$2)/10)</f>
        <v>63.96</v>
      </c>
      <c r="N47" s="18"/>
    </row>
    <row r="48" spans="1:14" x14ac:dyDescent="0.25">
      <c r="A48" s="22" t="s">
        <v>140</v>
      </c>
      <c r="B48" s="7" t="s">
        <v>89</v>
      </c>
      <c r="C48" s="22" t="s">
        <v>158</v>
      </c>
      <c r="D48" s="22" t="s">
        <v>130</v>
      </c>
      <c r="E48" s="22" t="s">
        <v>130</v>
      </c>
      <c r="F48" s="14">
        <f>IF($B48="","",IFERROR(INDEX('Base de Datos'!$C$6:$C$103,MATCH($B48,'Base de Datos'!$J$6:$J$103,0)),""))</f>
        <v>109.21999999999998</v>
      </c>
      <c r="G48" s="23">
        <v>1524</v>
      </c>
      <c r="H48" s="23">
        <v>609.6</v>
      </c>
      <c r="I48" s="17" t="str">
        <f t="shared" si="0"/>
        <v>N3 - Marcos</v>
      </c>
      <c r="J48" s="21">
        <v>1</v>
      </c>
      <c r="K48" s="14">
        <f>IF($F48="","",($F48+'Base de Datos'!$B$2)/10)</f>
        <v>13.921999999999997</v>
      </c>
      <c r="L48" s="14">
        <f>IF($G48="","",($G48+'Base de Datos'!$B$2)/10)</f>
        <v>155.4</v>
      </c>
      <c r="M48" s="14">
        <f>IF($H48="","",($H48+'Base de Datos'!$B$2)/10)</f>
        <v>63.96</v>
      </c>
      <c r="N48" s="18"/>
    </row>
    <row r="49" spans="1:14" x14ac:dyDescent="0.25">
      <c r="A49" s="22" t="s">
        <v>140</v>
      </c>
      <c r="B49" s="7" t="s">
        <v>89</v>
      </c>
      <c r="C49" s="22" t="s">
        <v>159</v>
      </c>
      <c r="D49" s="22" t="s">
        <v>130</v>
      </c>
      <c r="E49" s="22" t="s">
        <v>130</v>
      </c>
      <c r="F49" s="14">
        <f>IF($B49="","",IFERROR(INDEX('Base de Datos'!$C$6:$C$103,MATCH($B49,'Base de Datos'!$J$6:$J$103,0)),""))</f>
        <v>109.21999999999998</v>
      </c>
      <c r="G49" s="23">
        <v>1524</v>
      </c>
      <c r="H49" s="23">
        <v>609.6</v>
      </c>
      <c r="I49" s="17" t="str">
        <f t="shared" si="0"/>
        <v>N4 - Marcos</v>
      </c>
      <c r="J49" s="21">
        <v>1</v>
      </c>
      <c r="K49" s="14">
        <f>IF($F49="","",($F49+'Base de Datos'!$B$2)/10)</f>
        <v>13.921999999999997</v>
      </c>
      <c r="L49" s="14">
        <f>IF($G49="","",($G49+'Base de Datos'!$B$2)/10)</f>
        <v>155.4</v>
      </c>
      <c r="M49" s="14">
        <f>IF($H49="","",($H49+'Base de Datos'!$B$2)/10)</f>
        <v>63.96</v>
      </c>
      <c r="N49" s="18"/>
    </row>
    <row r="50" spans="1:14" x14ac:dyDescent="0.25">
      <c r="A50" s="22" t="s">
        <v>140</v>
      </c>
      <c r="B50" s="7" t="s">
        <v>89</v>
      </c>
      <c r="C50" s="22" t="s">
        <v>160</v>
      </c>
      <c r="D50" s="22" t="s">
        <v>130</v>
      </c>
      <c r="E50" s="22" t="s">
        <v>130</v>
      </c>
      <c r="F50" s="14">
        <f>IF($B50="","",IFERROR(INDEX('Base de Datos'!$C$6:$C$103,MATCH($B50,'Base de Datos'!$J$6:$J$103,0)),""))</f>
        <v>109.21999999999998</v>
      </c>
      <c r="G50" s="23">
        <v>1524</v>
      </c>
      <c r="H50" s="23">
        <v>609.6</v>
      </c>
      <c r="I50" s="17" t="str">
        <f>IF(AND($C50="",$D50=""),"",$C50&amp;" - "&amp;$D50)</f>
        <v>N5 - Marcos</v>
      </c>
      <c r="J50" s="21">
        <v>1</v>
      </c>
      <c r="K50" s="14">
        <f>IF($F50="","",($F50+'Base de Datos'!$B$2)/10)</f>
        <v>13.921999999999997</v>
      </c>
      <c r="L50" s="14">
        <f>IF($G50="","",($G50+'Base de Datos'!$B$2)/10)</f>
        <v>155.4</v>
      </c>
      <c r="M50" s="14">
        <f>IF($H50="","",($H50+'Base de Datos'!$B$2)/10)</f>
        <v>63.96</v>
      </c>
      <c r="N50" s="18"/>
    </row>
    <row r="51" spans="1:14" x14ac:dyDescent="0.25">
      <c r="A51" s="22" t="s">
        <v>140</v>
      </c>
      <c r="B51" s="22" t="s">
        <v>87</v>
      </c>
      <c r="C51" s="22" t="s">
        <v>161</v>
      </c>
      <c r="D51" s="22" t="s">
        <v>130</v>
      </c>
      <c r="E51" s="22" t="s">
        <v>130</v>
      </c>
      <c r="F51" s="14">
        <f>IF($B51="","",IFERROR(INDEX('Base de Datos'!$C$6:$C$103,MATCH($B51,'Base de Datos'!$J$6:$J$103,0)),""))</f>
        <v>80.009999999999991</v>
      </c>
      <c r="G51" s="23">
        <v>2286</v>
      </c>
      <c r="H51" s="23">
        <v>609.6</v>
      </c>
      <c r="I51" s="17" t="str">
        <f>IF(AND($C51="",$D51=""),"",$C51&amp;" - "&amp;$D51)</f>
        <v>O - Marcos</v>
      </c>
      <c r="J51" s="21">
        <v>1</v>
      </c>
      <c r="K51" s="14">
        <f>IF($F51="","",($F51+'Base de Datos'!$B$2)/10)</f>
        <v>11.000999999999999</v>
      </c>
      <c r="L51" s="14">
        <f>IF($G51="","",($G51+'Base de Datos'!$B$2)/10)</f>
        <v>231.6</v>
      </c>
      <c r="M51" s="14">
        <f>IF($H51="","",($H51+'Base de Datos'!$B$2)/10)</f>
        <v>63.96</v>
      </c>
      <c r="N51" s="18"/>
    </row>
    <row r="52" spans="1:14" x14ac:dyDescent="0.25">
      <c r="A52" s="22" t="s">
        <v>140</v>
      </c>
      <c r="B52" s="22" t="s">
        <v>87</v>
      </c>
      <c r="C52" s="22" t="s">
        <v>162</v>
      </c>
      <c r="D52" s="22" t="s">
        <v>130</v>
      </c>
      <c r="E52" s="22" t="s">
        <v>130</v>
      </c>
      <c r="F52" s="14">
        <f>IF($B52="","",IFERROR(INDEX('Base de Datos'!$C$6:$C$103,MATCH($B52,'Base de Datos'!$J$6:$J$103,0)),""))</f>
        <v>80.009999999999991</v>
      </c>
      <c r="G52" s="23">
        <v>1828.8</v>
      </c>
      <c r="H52" s="23">
        <v>1676.4</v>
      </c>
      <c r="I52" s="17" t="str">
        <f t="shared" ref="I52:I55" si="1">IF(AND($C52="",$D52=""),"",$C52&amp;" - "&amp;$D52)</f>
        <v>P - Marcos</v>
      </c>
      <c r="J52" s="21">
        <v>1</v>
      </c>
      <c r="K52" s="14">
        <f>IF($F52="","",($F52+'Base de Datos'!$B$2)/10)</f>
        <v>11.000999999999999</v>
      </c>
      <c r="L52" s="14">
        <f>IF($G52="","",($G52+'Base de Datos'!$B$2)/10)</f>
        <v>185.88</v>
      </c>
      <c r="M52" s="14">
        <f>IF($H52="","",($H52+'Base de Datos'!$B$2)/10)</f>
        <v>170.64000000000001</v>
      </c>
    </row>
    <row r="53" spans="1:14" x14ac:dyDescent="0.25">
      <c r="A53" s="22" t="s">
        <v>140</v>
      </c>
      <c r="B53" s="22" t="s">
        <v>87</v>
      </c>
      <c r="C53" s="22" t="s">
        <v>162</v>
      </c>
      <c r="D53" s="22" t="s">
        <v>130</v>
      </c>
      <c r="E53" s="22" t="s">
        <v>130</v>
      </c>
      <c r="F53" s="14">
        <f>IF($B53="","",IFERROR(INDEX('Base de Datos'!$C$6:$C$103,MATCH($B53,'Base de Datos'!$J$6:$J$103,0)),""))</f>
        <v>80.009999999999991</v>
      </c>
      <c r="G53" s="23">
        <v>1828.8</v>
      </c>
      <c r="H53" s="23">
        <v>1676.4</v>
      </c>
      <c r="I53" s="17" t="str">
        <f t="shared" si="1"/>
        <v>P - Marcos</v>
      </c>
      <c r="J53" s="21">
        <v>1</v>
      </c>
      <c r="K53" s="14">
        <f>IF($F53="","",($F53+'Base de Datos'!$B$2)/10)</f>
        <v>11.000999999999999</v>
      </c>
      <c r="L53" s="14">
        <f>IF($G53="","",($G53+'Base de Datos'!$B$2)/10)</f>
        <v>185.88</v>
      </c>
      <c r="M53" s="14">
        <f>IF($H53="","",($H53+'Base de Datos'!$B$2)/10)</f>
        <v>170.64000000000001</v>
      </c>
    </row>
    <row r="54" spans="1:14" x14ac:dyDescent="0.25">
      <c r="A54" s="22" t="s">
        <v>140</v>
      </c>
      <c r="B54" s="22" t="s">
        <v>87</v>
      </c>
      <c r="C54" s="22" t="s">
        <v>163</v>
      </c>
      <c r="D54" s="22" t="s">
        <v>130</v>
      </c>
      <c r="E54" s="22" t="s">
        <v>130</v>
      </c>
      <c r="F54" s="14">
        <f>IF($B54="","",IFERROR(INDEX('Base de Datos'!$C$6:$C$103,MATCH($B54,'Base de Datos'!$J$6:$J$103,0)),""))</f>
        <v>80.009999999999991</v>
      </c>
      <c r="G54" s="23">
        <v>1828.8</v>
      </c>
      <c r="H54" s="23">
        <v>609.6</v>
      </c>
      <c r="I54" s="17" t="str">
        <f t="shared" si="1"/>
        <v>Q - Marcos</v>
      </c>
      <c r="J54" s="21">
        <v>1</v>
      </c>
      <c r="K54" s="14">
        <f>IF($F54="","",($F54+'Base de Datos'!$B$2)/10)</f>
        <v>11.000999999999999</v>
      </c>
      <c r="L54" s="14">
        <f>IF($G54="","",($G54+'Base de Datos'!$B$2)/10)</f>
        <v>185.88</v>
      </c>
      <c r="M54" s="14">
        <f>IF($H54="","",($H54+'Base de Datos'!$B$2)/10)</f>
        <v>63.96</v>
      </c>
    </row>
    <row r="55" spans="1:14" x14ac:dyDescent="0.25">
      <c r="A55" s="22" t="s">
        <v>140</v>
      </c>
      <c r="B55" s="22" t="s">
        <v>87</v>
      </c>
      <c r="C55" s="22" t="s">
        <v>163</v>
      </c>
      <c r="D55" s="22" t="s">
        <v>130</v>
      </c>
      <c r="E55" s="22" t="s">
        <v>130</v>
      </c>
      <c r="F55" s="14">
        <f>IF($B55="","",IFERROR(INDEX('Base de Datos'!$C$6:$C$103,MATCH($B55,'Base de Datos'!$J$6:$J$103,0)),""))</f>
        <v>80.009999999999991</v>
      </c>
      <c r="G55" s="23">
        <v>1828.8</v>
      </c>
      <c r="H55" s="23">
        <v>609.6</v>
      </c>
      <c r="I55" s="17" t="str">
        <f t="shared" si="1"/>
        <v>Q - Marcos</v>
      </c>
      <c r="J55" s="21">
        <v>1</v>
      </c>
      <c r="K55" s="14">
        <f>IF($F55="","",($F55+'Base de Datos'!$B$2)/10)</f>
        <v>11.000999999999999</v>
      </c>
      <c r="L55" s="14">
        <f>IF($G55="","",($G55+'Base de Datos'!$B$2)/10)</f>
        <v>185.88</v>
      </c>
      <c r="M55" s="14">
        <f>IF($H55="","",($H55+'Base de Datos'!$B$2)/10)</f>
        <v>63.96</v>
      </c>
      <c r="N55" s="18"/>
    </row>
    <row r="56" spans="1:14" x14ac:dyDescent="0.25">
      <c r="A56" s="22"/>
      <c r="B56" s="12" t="s">
        <v>90</v>
      </c>
      <c r="C56" s="22"/>
      <c r="D56" s="22" t="s">
        <v>130</v>
      </c>
      <c r="E56" s="22" t="s">
        <v>130</v>
      </c>
      <c r="F56" s="14"/>
      <c r="G56" s="23"/>
      <c r="H56" s="23"/>
      <c r="I56" s="17"/>
      <c r="J56" s="21"/>
      <c r="K56" s="14"/>
      <c r="L56" s="14"/>
      <c r="M56" s="14"/>
      <c r="N56" s="18"/>
    </row>
    <row r="57" spans="1:14" x14ac:dyDescent="0.25">
      <c r="A57" s="22"/>
      <c r="B57" s="12" t="s">
        <v>87</v>
      </c>
      <c r="C57" s="22"/>
      <c r="D57" s="13"/>
      <c r="E57" s="20"/>
      <c r="F57" s="14"/>
      <c r="G57" s="20"/>
      <c r="H57" s="20"/>
      <c r="I57" s="17"/>
      <c r="J57" s="20"/>
      <c r="K57" s="14"/>
      <c r="L57" s="14"/>
      <c r="M57" s="14"/>
      <c r="N57" s="18"/>
    </row>
    <row r="58" spans="1:14" x14ac:dyDescent="0.25">
      <c r="A58" s="21"/>
      <c r="B58" s="12"/>
      <c r="C58" s="21"/>
      <c r="D58" s="13"/>
      <c r="E58" s="21"/>
      <c r="F58" s="14"/>
      <c r="G58" s="21"/>
      <c r="H58" s="21"/>
      <c r="I58" s="17"/>
      <c r="J58" s="21"/>
      <c r="K58" s="14"/>
      <c r="L58" s="14"/>
      <c r="M58" s="14"/>
      <c r="N58" s="18"/>
    </row>
    <row r="59" spans="1:14" x14ac:dyDescent="0.25">
      <c r="A59" s="20"/>
      <c r="B59" s="12"/>
      <c r="C59" s="20"/>
      <c r="D59" s="13"/>
      <c r="E59" s="20"/>
      <c r="F59" s="14"/>
      <c r="G59" s="20"/>
      <c r="H59" s="20"/>
      <c r="I59" s="17"/>
      <c r="J59" s="20"/>
      <c r="K59" s="14"/>
      <c r="L59" s="14"/>
      <c r="M59" s="14"/>
      <c r="N59" s="18"/>
    </row>
    <row r="60" spans="1:14" x14ac:dyDescent="0.25">
      <c r="A60" s="21"/>
      <c r="B60" s="12"/>
      <c r="C60" s="21"/>
      <c r="D60" s="13"/>
      <c r="E60" s="21"/>
      <c r="F60" s="14"/>
      <c r="G60" s="21"/>
      <c r="H60" s="21"/>
      <c r="I60" s="17"/>
      <c r="J60" s="21"/>
      <c r="K60" s="14"/>
      <c r="L60" s="14"/>
      <c r="M60" s="14"/>
      <c r="N60" s="18"/>
    </row>
    <row r="61" spans="1:14" x14ac:dyDescent="0.25">
      <c r="A61" s="20"/>
      <c r="B61" s="12"/>
      <c r="C61" s="20"/>
      <c r="D61" s="13"/>
      <c r="E61" s="20"/>
      <c r="F61" s="14"/>
      <c r="G61" s="20"/>
      <c r="H61" s="20"/>
      <c r="I61" s="17"/>
      <c r="J61" s="20"/>
      <c r="K61" s="14"/>
      <c r="L61" s="14"/>
      <c r="M61" s="14"/>
      <c r="N61" s="18"/>
    </row>
    <row r="62" spans="1:14" x14ac:dyDescent="0.25">
      <c r="A62" s="21"/>
      <c r="B62" s="12"/>
      <c r="C62" s="21"/>
      <c r="D62" s="13"/>
      <c r="E62" s="21"/>
      <c r="F62" s="14"/>
      <c r="G62" s="21"/>
      <c r="H62" s="21"/>
      <c r="I62" s="17"/>
      <c r="J62" s="21"/>
      <c r="K62" s="14"/>
      <c r="L62" s="14"/>
      <c r="M62" s="14"/>
      <c r="N62" s="18"/>
    </row>
    <row r="63" spans="1:14" x14ac:dyDescent="0.25">
      <c r="A63" s="20"/>
      <c r="B63" s="12"/>
      <c r="C63" s="20"/>
      <c r="D63" s="13"/>
      <c r="E63" s="20"/>
      <c r="F63" s="14"/>
      <c r="G63" s="20"/>
      <c r="H63" s="20"/>
      <c r="I63" s="17"/>
      <c r="J63" s="20"/>
      <c r="K63" s="14"/>
      <c r="L63" s="14"/>
      <c r="M63" s="14"/>
      <c r="N63" s="18"/>
    </row>
    <row r="64" spans="1:14" x14ac:dyDescent="0.25">
      <c r="A64" s="21"/>
      <c r="B64" s="12"/>
      <c r="C64" s="21"/>
      <c r="D64" s="13"/>
      <c r="E64" s="21"/>
      <c r="F64" s="14"/>
      <c r="G64" s="21"/>
      <c r="H64" s="21"/>
      <c r="I64" s="17"/>
      <c r="J64" s="21"/>
      <c r="K64" s="14"/>
      <c r="L64" s="14"/>
      <c r="M64" s="14"/>
      <c r="N64" s="18"/>
    </row>
    <row r="65" spans="1:14" x14ac:dyDescent="0.25">
      <c r="A65" s="20"/>
      <c r="B65" s="12"/>
      <c r="C65" s="20"/>
      <c r="D65" s="13"/>
      <c r="E65" s="20"/>
      <c r="F65" s="14"/>
      <c r="G65" s="20"/>
      <c r="H65" s="20"/>
      <c r="I65" s="17"/>
      <c r="J65" s="20"/>
      <c r="K65" s="14"/>
      <c r="L65" s="14"/>
      <c r="M65" s="14"/>
      <c r="N65" s="18"/>
    </row>
    <row r="66" spans="1:14" x14ac:dyDescent="0.25">
      <c r="A66" s="21"/>
      <c r="B66" s="12"/>
      <c r="C66" s="21"/>
      <c r="D66" s="13"/>
      <c r="E66" s="21"/>
      <c r="F66" s="14"/>
      <c r="G66" s="21"/>
      <c r="H66" s="21"/>
      <c r="I66" s="17"/>
      <c r="J66" s="21"/>
      <c r="K66" s="14"/>
      <c r="L66" s="14"/>
      <c r="M66" s="14"/>
      <c r="N66" s="18"/>
    </row>
    <row r="67" spans="1:14" x14ac:dyDescent="0.25">
      <c r="A67" s="20"/>
      <c r="B67" s="12"/>
      <c r="C67" s="20"/>
      <c r="D67" s="13"/>
      <c r="E67" s="20"/>
      <c r="F67" s="14"/>
      <c r="G67" s="20"/>
      <c r="H67" s="20"/>
      <c r="I67" s="17"/>
      <c r="J67" s="20"/>
      <c r="K67" s="14"/>
      <c r="L67" s="14"/>
      <c r="M67" s="14"/>
      <c r="N67" s="18"/>
    </row>
    <row r="68" spans="1:14" x14ac:dyDescent="0.25">
      <c r="A68" s="21"/>
      <c r="B68" s="12"/>
      <c r="C68" s="21"/>
      <c r="D68" s="13"/>
      <c r="E68" s="21"/>
      <c r="F68" s="14"/>
      <c r="G68" s="21"/>
      <c r="H68" s="21"/>
      <c r="I68" s="17"/>
      <c r="J68" s="21"/>
      <c r="K68" s="14"/>
      <c r="L68" s="14"/>
      <c r="M68" s="14"/>
      <c r="N68" s="18"/>
    </row>
    <row r="69" spans="1:14" x14ac:dyDescent="0.25">
      <c r="A69" s="20"/>
      <c r="B69" s="12"/>
      <c r="C69" s="20"/>
      <c r="D69" s="13"/>
      <c r="E69" s="20"/>
      <c r="F69" s="14"/>
      <c r="G69" s="20"/>
      <c r="H69" s="20"/>
      <c r="I69" s="17"/>
      <c r="J69" s="20"/>
      <c r="K69" s="14"/>
      <c r="L69" s="14"/>
      <c r="M69" s="14"/>
      <c r="N69" s="18"/>
    </row>
    <row r="70" spans="1:14" x14ac:dyDescent="0.25">
      <c r="A70" s="21"/>
      <c r="B70" s="12"/>
      <c r="C70" s="21"/>
      <c r="D70" s="13"/>
      <c r="E70" s="21"/>
      <c r="F70" s="14"/>
      <c r="G70" s="21"/>
      <c r="H70" s="21"/>
      <c r="I70" s="17"/>
      <c r="J70" s="21"/>
      <c r="K70" s="14"/>
      <c r="L70" s="14"/>
      <c r="M70" s="14"/>
      <c r="N70" s="18"/>
    </row>
    <row r="71" spans="1:14" x14ac:dyDescent="0.25">
      <c r="A71" s="20"/>
      <c r="B71" s="12"/>
      <c r="C71" s="20"/>
      <c r="D71" s="13"/>
      <c r="E71" s="20"/>
      <c r="F71" s="14"/>
      <c r="G71" s="20"/>
      <c r="H71" s="20"/>
      <c r="I71" s="17"/>
      <c r="J71" s="20"/>
      <c r="K71" s="14"/>
      <c r="L71" s="14"/>
      <c r="M71" s="14"/>
      <c r="N71" s="18"/>
    </row>
    <row r="72" spans="1:14" x14ac:dyDescent="0.25">
      <c r="A72" s="20"/>
      <c r="B72" s="12"/>
      <c r="C72" s="20"/>
      <c r="D72" s="13"/>
      <c r="E72" s="20"/>
      <c r="F72" s="14"/>
      <c r="G72" s="20"/>
      <c r="H72" s="20"/>
      <c r="I72" s="17"/>
      <c r="J72" s="20"/>
      <c r="K72" s="14"/>
      <c r="L72" s="14"/>
      <c r="M72" s="14"/>
      <c r="N72" s="18"/>
    </row>
    <row r="73" spans="1:14" x14ac:dyDescent="0.25">
      <c r="A73" s="20"/>
      <c r="B73" s="12"/>
      <c r="C73" s="20"/>
      <c r="D73" s="13"/>
      <c r="E73" s="20"/>
      <c r="F73" s="14"/>
      <c r="G73" s="20"/>
      <c r="H73" s="20"/>
      <c r="I73" s="17"/>
      <c r="J73" s="20"/>
      <c r="K73" s="14"/>
      <c r="L73" s="14"/>
      <c r="M73" s="14"/>
      <c r="N73" s="18"/>
    </row>
    <row r="74" spans="1:14" x14ac:dyDescent="0.25">
      <c r="A74" s="21"/>
      <c r="B74" s="12"/>
      <c r="C74" s="21"/>
      <c r="D74" s="13"/>
      <c r="E74" s="21"/>
      <c r="F74" s="14"/>
      <c r="G74" s="20"/>
      <c r="H74" s="21"/>
      <c r="I74" s="17"/>
      <c r="J74" s="21"/>
      <c r="K74" s="14"/>
      <c r="L74" s="14"/>
      <c r="M74" s="14"/>
      <c r="N74" s="18"/>
    </row>
    <row r="75" spans="1:14" x14ac:dyDescent="0.25">
      <c r="A75" s="20"/>
      <c r="B75" s="12"/>
      <c r="C75" s="20"/>
      <c r="D75" s="13"/>
      <c r="E75" s="20"/>
      <c r="F75" s="14"/>
      <c r="G75" s="20"/>
      <c r="H75" s="20"/>
      <c r="I75" s="17"/>
      <c r="J75" s="20"/>
      <c r="K75" s="14"/>
      <c r="L75" s="14"/>
      <c r="M75" s="14"/>
      <c r="N75" s="18"/>
    </row>
    <row r="76" spans="1:14" x14ac:dyDescent="0.25">
      <c r="A76" s="21"/>
      <c r="B76" s="12"/>
      <c r="C76" s="21"/>
      <c r="D76" s="13"/>
      <c r="E76" s="21"/>
      <c r="F76" s="14"/>
      <c r="G76" s="21"/>
      <c r="H76" s="21"/>
      <c r="I76" s="17"/>
      <c r="J76" s="21"/>
      <c r="K76" s="14"/>
      <c r="L76" s="14"/>
      <c r="M76" s="14"/>
      <c r="N76" s="18"/>
    </row>
    <row r="77" spans="1:14" x14ac:dyDescent="0.25">
      <c r="A77" s="20"/>
      <c r="B77" s="12"/>
      <c r="C77" s="20"/>
      <c r="D77" s="13"/>
      <c r="E77" s="20"/>
      <c r="F77" s="14"/>
      <c r="G77" s="20"/>
      <c r="H77" s="20"/>
      <c r="I77" s="17"/>
      <c r="J77" s="20"/>
      <c r="K77" s="14"/>
      <c r="L77" s="14"/>
      <c r="M77" s="14"/>
      <c r="N77" s="18"/>
    </row>
    <row r="78" spans="1:14" x14ac:dyDescent="0.25">
      <c r="A78" s="21"/>
      <c r="B78" s="12"/>
      <c r="C78" s="21"/>
      <c r="D78" s="13"/>
      <c r="E78" s="21"/>
      <c r="F78" s="14"/>
      <c r="G78" s="21"/>
      <c r="H78" s="21"/>
      <c r="I78" s="17"/>
      <c r="J78" s="21"/>
      <c r="K78" s="14"/>
      <c r="L78" s="14"/>
      <c r="M78" s="14"/>
      <c r="N78" s="18"/>
    </row>
    <row r="79" spans="1:14" x14ac:dyDescent="0.25">
      <c r="A79" s="20"/>
      <c r="B79" s="12"/>
      <c r="C79" s="20"/>
      <c r="D79" s="13"/>
      <c r="E79" s="20"/>
      <c r="F79" s="14"/>
      <c r="G79" s="20"/>
      <c r="H79" s="20"/>
      <c r="I79" s="17"/>
      <c r="J79" s="20"/>
      <c r="K79" s="14"/>
      <c r="L79" s="14"/>
      <c r="M79" s="14"/>
    </row>
    <row r="80" spans="1:14" x14ac:dyDescent="0.25">
      <c r="A80" s="21"/>
      <c r="B80" s="12"/>
      <c r="C80" s="21"/>
      <c r="D80" s="13"/>
      <c r="E80" s="21"/>
      <c r="F80" s="14"/>
      <c r="G80" s="21"/>
      <c r="H80" s="21"/>
      <c r="I80" s="17"/>
      <c r="J80" s="21"/>
      <c r="K80" s="14"/>
      <c r="L80" s="14"/>
      <c r="M80" s="14"/>
    </row>
    <row r="81" spans="1:14" x14ac:dyDescent="0.25">
      <c r="A81" s="20"/>
      <c r="B81" s="12"/>
      <c r="C81" s="20"/>
      <c r="D81" s="13"/>
      <c r="E81" s="20"/>
      <c r="F81" s="14"/>
      <c r="G81" s="20"/>
      <c r="H81" s="20"/>
      <c r="I81" s="17"/>
      <c r="J81" s="20"/>
      <c r="K81" s="14"/>
      <c r="L81" s="14"/>
      <c r="M81" s="14"/>
    </row>
    <row r="82" spans="1:14" x14ac:dyDescent="0.25">
      <c r="A82" s="21"/>
      <c r="B82" s="12"/>
      <c r="C82" s="21"/>
      <c r="D82" s="13"/>
      <c r="E82" s="21"/>
      <c r="F82" s="14"/>
      <c r="G82" s="21"/>
      <c r="H82" s="21"/>
      <c r="I82" s="17"/>
      <c r="J82" s="21"/>
      <c r="K82" s="14"/>
      <c r="L82" s="14"/>
      <c r="M82" s="14"/>
    </row>
    <row r="83" spans="1:14" x14ac:dyDescent="0.25">
      <c r="A83" s="21"/>
      <c r="B83" s="12"/>
      <c r="C83" s="21"/>
      <c r="D83" s="13"/>
      <c r="E83" s="21"/>
      <c r="F83" s="14"/>
      <c r="G83" s="21"/>
      <c r="H83" s="21"/>
      <c r="I83" s="17"/>
      <c r="J83" s="21"/>
      <c r="K83" s="14"/>
      <c r="L83" s="14"/>
      <c r="M83" s="14"/>
      <c r="N83" s="18"/>
    </row>
    <row r="84" spans="1:14" x14ac:dyDescent="0.25">
      <c r="A84" s="20"/>
      <c r="B84" s="12"/>
      <c r="C84" s="20"/>
      <c r="D84" s="13"/>
      <c r="E84" s="20"/>
      <c r="F84" s="14"/>
      <c r="G84" s="20"/>
      <c r="H84" s="20"/>
      <c r="I84" s="17"/>
      <c r="J84" s="20"/>
      <c r="K84" s="14"/>
      <c r="L84" s="14"/>
      <c r="M84" s="14"/>
      <c r="N84" s="18"/>
    </row>
    <row r="85" spans="1:14" x14ac:dyDescent="0.25">
      <c r="A85" s="21"/>
      <c r="B85" s="12"/>
      <c r="C85" s="21"/>
      <c r="D85" s="13"/>
      <c r="E85" s="21"/>
      <c r="F85" s="14"/>
      <c r="G85" s="21"/>
      <c r="H85" s="21"/>
      <c r="I85" s="17"/>
      <c r="J85" s="21"/>
      <c r="K85" s="14"/>
      <c r="L85" s="14"/>
      <c r="M85" s="14"/>
      <c r="N85" s="18"/>
    </row>
    <row r="86" spans="1:14" x14ac:dyDescent="0.25">
      <c r="A86" s="20"/>
      <c r="B86" s="12"/>
      <c r="C86" s="20"/>
      <c r="D86" s="13"/>
      <c r="E86" s="20"/>
      <c r="F86" s="14"/>
      <c r="G86" s="20"/>
      <c r="H86" s="20"/>
      <c r="I86" s="17"/>
      <c r="J86" s="20"/>
      <c r="K86" s="14"/>
      <c r="L86" s="14"/>
      <c r="M86" s="14"/>
      <c r="N86" s="18"/>
    </row>
    <row r="87" spans="1:14" x14ac:dyDescent="0.25">
      <c r="A87" s="21"/>
      <c r="B87" s="12"/>
      <c r="C87" s="21"/>
      <c r="D87" s="13"/>
      <c r="E87" s="21"/>
      <c r="F87" s="14"/>
      <c r="G87" s="21"/>
      <c r="H87" s="21"/>
      <c r="I87" s="17"/>
      <c r="J87" s="21"/>
      <c r="K87" s="14"/>
      <c r="L87" s="14"/>
      <c r="M87" s="14"/>
      <c r="N87" s="18"/>
    </row>
    <row r="88" spans="1:14" x14ac:dyDescent="0.25">
      <c r="A88" s="20"/>
      <c r="B88" s="12"/>
      <c r="C88" s="20"/>
      <c r="D88" s="13"/>
      <c r="E88" s="20"/>
      <c r="F88" s="14"/>
      <c r="G88" s="20"/>
      <c r="H88" s="20"/>
      <c r="I88" s="17"/>
      <c r="J88" s="20"/>
      <c r="K88" s="14"/>
      <c r="L88" s="14"/>
      <c r="M88" s="14"/>
      <c r="N88" s="18"/>
    </row>
    <row r="89" spans="1:14" x14ac:dyDescent="0.25">
      <c r="A89" s="21"/>
      <c r="B89" s="12"/>
      <c r="C89" s="21"/>
      <c r="D89" s="13"/>
      <c r="E89" s="21"/>
      <c r="F89" s="14"/>
      <c r="G89" s="20"/>
      <c r="H89" s="21"/>
      <c r="I89" s="17"/>
      <c r="J89" s="21"/>
      <c r="K89" s="14"/>
      <c r="L89" s="14"/>
      <c r="M89" s="14"/>
      <c r="N89" s="18"/>
    </row>
    <row r="90" spans="1:14" x14ac:dyDescent="0.25">
      <c r="A90" s="20"/>
      <c r="B90" s="12"/>
      <c r="C90" s="20"/>
      <c r="D90" s="13"/>
      <c r="E90" s="20"/>
      <c r="F90" s="14"/>
      <c r="G90" s="20"/>
      <c r="H90" s="20"/>
      <c r="I90" s="17"/>
      <c r="J90" s="20"/>
      <c r="K90" s="14"/>
      <c r="L90" s="14"/>
      <c r="M90" s="14"/>
      <c r="N90" s="18"/>
    </row>
    <row r="91" spans="1:14" x14ac:dyDescent="0.25">
      <c r="A91" s="20"/>
      <c r="B91" s="12"/>
      <c r="C91" s="20"/>
      <c r="D91" s="13"/>
      <c r="E91" s="20"/>
      <c r="F91" s="14"/>
      <c r="G91" s="20"/>
      <c r="H91" s="20"/>
      <c r="I91" s="17"/>
      <c r="J91" s="20"/>
      <c r="K91" s="14"/>
      <c r="L91" s="14"/>
      <c r="M91" s="14"/>
      <c r="N91" s="18"/>
    </row>
    <row r="92" spans="1:14" x14ac:dyDescent="0.25">
      <c r="A92" s="20"/>
      <c r="B92" s="12"/>
      <c r="C92" s="20"/>
      <c r="D92" s="13"/>
      <c r="E92" s="20"/>
      <c r="F92" s="14"/>
      <c r="G92" s="20"/>
      <c r="H92" s="20"/>
      <c r="I92" s="17"/>
      <c r="J92" s="20"/>
      <c r="K92" s="14"/>
      <c r="L92" s="14"/>
      <c r="M92" s="14"/>
      <c r="N92" s="18"/>
    </row>
    <row r="93" spans="1:14" x14ac:dyDescent="0.25">
      <c r="A93" s="21"/>
      <c r="B93" s="12"/>
      <c r="C93" s="21"/>
      <c r="D93" s="13"/>
      <c r="E93" s="21"/>
      <c r="F93" s="14"/>
      <c r="G93" s="21"/>
      <c r="H93" s="21"/>
      <c r="I93" s="17"/>
      <c r="J93" s="21"/>
      <c r="K93" s="14"/>
      <c r="L93" s="14"/>
      <c r="M93" s="14"/>
      <c r="N93" s="18"/>
    </row>
    <row r="94" spans="1:14" x14ac:dyDescent="0.25">
      <c r="A94" s="20"/>
      <c r="B94" s="12"/>
      <c r="C94" s="20"/>
      <c r="D94" s="13"/>
      <c r="E94" s="20"/>
      <c r="F94" s="14"/>
      <c r="G94" s="20"/>
      <c r="H94" s="20"/>
      <c r="I94" s="17"/>
      <c r="J94" s="20"/>
      <c r="K94" s="14"/>
      <c r="L94" s="14"/>
      <c r="M94" s="14"/>
      <c r="N94" s="18"/>
    </row>
    <row r="95" spans="1:14" x14ac:dyDescent="0.25">
      <c r="A95" s="21"/>
      <c r="B95" s="12"/>
      <c r="C95" s="21"/>
      <c r="D95" s="13"/>
      <c r="E95" s="21"/>
      <c r="F95" s="14"/>
      <c r="G95" s="21"/>
      <c r="H95" s="21"/>
      <c r="I95" s="17"/>
      <c r="J95" s="21"/>
      <c r="K95" s="14"/>
      <c r="L95" s="14"/>
      <c r="M95" s="14"/>
      <c r="N95" s="18"/>
    </row>
    <row r="96" spans="1:14" x14ac:dyDescent="0.25">
      <c r="A96" s="20"/>
      <c r="B96" s="12"/>
      <c r="C96" s="20"/>
      <c r="D96" s="13"/>
      <c r="E96" s="20"/>
      <c r="F96" s="14"/>
      <c r="G96" s="20"/>
      <c r="H96" s="20"/>
      <c r="I96" s="17"/>
      <c r="J96" s="20"/>
      <c r="K96" s="14"/>
      <c r="L96" s="14"/>
      <c r="M96" s="14"/>
      <c r="N96" s="18"/>
    </row>
    <row r="97" spans="1:14" x14ac:dyDescent="0.25">
      <c r="A97" s="21"/>
      <c r="B97" s="12"/>
      <c r="C97" s="21"/>
      <c r="D97" s="13"/>
      <c r="E97" s="21"/>
      <c r="F97" s="14"/>
      <c r="G97" s="21"/>
      <c r="H97" s="21"/>
      <c r="I97" s="17"/>
      <c r="J97" s="21"/>
      <c r="K97" s="14"/>
      <c r="L97" s="14"/>
      <c r="M97" s="14"/>
      <c r="N97" s="18"/>
    </row>
    <row r="98" spans="1:14" x14ac:dyDescent="0.25">
      <c r="A98" s="20"/>
      <c r="B98" s="12"/>
      <c r="C98" s="20"/>
      <c r="D98" s="13"/>
      <c r="E98" s="20"/>
      <c r="F98" s="14"/>
      <c r="G98" s="20"/>
      <c r="H98" s="20"/>
      <c r="I98" s="17"/>
      <c r="J98" s="20"/>
      <c r="K98" s="14"/>
      <c r="L98" s="14"/>
      <c r="M98" s="14"/>
      <c r="N98" s="18"/>
    </row>
    <row r="99" spans="1:14" x14ac:dyDescent="0.25">
      <c r="A99" s="20"/>
      <c r="B99" s="12"/>
      <c r="C99" s="20"/>
      <c r="D99" s="13"/>
      <c r="E99" s="20"/>
      <c r="F99" s="14"/>
      <c r="G99" s="20"/>
      <c r="H99" s="20"/>
      <c r="I99" s="17"/>
      <c r="J99" s="20"/>
      <c r="K99" s="14"/>
      <c r="L99" s="14"/>
      <c r="M99" s="14"/>
      <c r="N99" s="18"/>
    </row>
    <row r="100" spans="1:14" x14ac:dyDescent="0.25">
      <c r="A100" s="20"/>
      <c r="B100" s="12"/>
      <c r="C100" s="20"/>
      <c r="D100" s="13"/>
      <c r="E100" s="20"/>
      <c r="F100" s="14"/>
      <c r="G100" s="20"/>
      <c r="H100" s="20"/>
      <c r="I100" s="17"/>
      <c r="J100" s="20"/>
      <c r="K100" s="14"/>
      <c r="L100" s="14"/>
      <c r="M100" s="14"/>
      <c r="N100" s="18"/>
    </row>
    <row r="101" spans="1:14" x14ac:dyDescent="0.25">
      <c r="A101" s="21"/>
      <c r="B101" s="12"/>
      <c r="C101" s="21"/>
      <c r="D101" s="13"/>
      <c r="E101" s="21"/>
      <c r="F101" s="14"/>
      <c r="G101" s="21"/>
      <c r="H101" s="21"/>
      <c r="I101" s="17"/>
      <c r="J101" s="21"/>
      <c r="K101" s="14"/>
      <c r="L101" s="14"/>
      <c r="M101" s="14"/>
      <c r="N101" s="18"/>
    </row>
    <row r="102" spans="1:14" x14ac:dyDescent="0.25">
      <c r="A102" s="20"/>
      <c r="B102" s="12"/>
      <c r="C102" s="20"/>
      <c r="D102" s="13"/>
      <c r="E102" s="20"/>
      <c r="F102" s="14"/>
      <c r="G102" s="20"/>
      <c r="H102" s="20"/>
      <c r="I102" s="17"/>
      <c r="J102" s="20"/>
      <c r="K102" s="14"/>
      <c r="L102" s="14"/>
      <c r="M102" s="14"/>
      <c r="N102" s="18"/>
    </row>
    <row r="103" spans="1:14" x14ac:dyDescent="0.25">
      <c r="A103" s="21"/>
      <c r="B103" s="12"/>
      <c r="C103" s="21"/>
      <c r="D103" s="13"/>
      <c r="E103" s="21"/>
      <c r="F103" s="14"/>
      <c r="G103" s="21"/>
      <c r="H103" s="21"/>
      <c r="I103" s="17"/>
      <c r="J103" s="21"/>
      <c r="K103" s="14"/>
      <c r="L103" s="14"/>
      <c r="M103" s="14"/>
      <c r="N103" s="18"/>
    </row>
    <row r="104" spans="1:14" x14ac:dyDescent="0.25">
      <c r="A104" s="20"/>
      <c r="B104" s="12"/>
      <c r="C104" s="20"/>
      <c r="D104" s="13"/>
      <c r="E104" s="20"/>
      <c r="F104" s="14"/>
      <c r="G104" s="20"/>
      <c r="H104" s="20"/>
      <c r="I104" s="17"/>
      <c r="J104" s="20"/>
      <c r="K104" s="14"/>
      <c r="L104" s="14"/>
      <c r="M104" s="14"/>
      <c r="N104" s="18"/>
    </row>
    <row r="105" spans="1:14" x14ac:dyDescent="0.25">
      <c r="A105" s="21"/>
      <c r="B105" s="12"/>
      <c r="C105" s="21"/>
      <c r="D105" s="13"/>
      <c r="E105" s="21"/>
      <c r="F105" s="14"/>
      <c r="G105" s="21"/>
      <c r="H105" s="21"/>
      <c r="I105" s="17"/>
      <c r="J105" s="21"/>
      <c r="K105" s="14"/>
      <c r="L105" s="14"/>
      <c r="M105" s="14"/>
      <c r="N105" s="18"/>
    </row>
    <row r="106" spans="1:14" x14ac:dyDescent="0.25">
      <c r="A106" s="21"/>
      <c r="B106" s="12"/>
      <c r="C106" s="21"/>
      <c r="D106" s="13"/>
      <c r="E106" s="21"/>
      <c r="F106" s="14"/>
      <c r="G106" s="21"/>
      <c r="H106" s="21"/>
      <c r="I106" s="17"/>
      <c r="J106" s="21"/>
      <c r="K106" s="14"/>
      <c r="L106" s="14"/>
      <c r="M106" s="14"/>
      <c r="N106" s="18"/>
    </row>
    <row r="107" spans="1:14" x14ac:dyDescent="0.25">
      <c r="A107" s="21"/>
      <c r="B107" s="12"/>
      <c r="C107" s="21"/>
      <c r="D107" s="13"/>
      <c r="E107" s="21"/>
      <c r="F107" s="14"/>
      <c r="G107" s="21"/>
      <c r="H107" s="21"/>
      <c r="I107" s="17"/>
      <c r="J107" s="21"/>
      <c r="K107" s="14"/>
      <c r="L107" s="14"/>
      <c r="M107" s="14"/>
      <c r="N107" s="18"/>
    </row>
    <row r="108" spans="1:14" x14ac:dyDescent="0.25">
      <c r="A108" s="21"/>
      <c r="B108" s="12"/>
      <c r="C108" s="21"/>
      <c r="D108" s="13"/>
      <c r="E108" s="21"/>
      <c r="F108" s="14"/>
      <c r="G108" s="21"/>
      <c r="H108" s="21"/>
      <c r="I108" s="17"/>
      <c r="J108" s="21"/>
      <c r="K108" s="14"/>
      <c r="L108" s="14"/>
      <c r="M108" s="14"/>
      <c r="N108" s="18"/>
    </row>
    <row r="109" spans="1:14" x14ac:dyDescent="0.25">
      <c r="A109" s="21"/>
      <c r="B109" s="12"/>
      <c r="C109" s="21"/>
      <c r="D109" s="13"/>
      <c r="E109" s="21"/>
      <c r="F109" s="14"/>
      <c r="G109" s="21"/>
      <c r="H109" s="21"/>
      <c r="I109" s="17"/>
      <c r="J109" s="21"/>
      <c r="K109" s="14"/>
      <c r="L109" s="14"/>
      <c r="M109" s="14"/>
      <c r="N109" s="18"/>
    </row>
  </sheetData>
  <autoFilter ref="A3:N109" xr:uid="{4F277D30-B00E-4433-A5DA-CE055D0479E0}"/>
  <phoneticPr fontId="13" type="noConversion"/>
  <dataValidations count="1">
    <dataValidation type="list" allowBlank="1" showInputMessage="1" showErrorMessage="1" sqref="B56:B109" xr:uid="{E70C097F-27B2-40D0-AE7E-6FDC68A30EB7}">
      <formula1>ListaSistemas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1A53-04E3-455D-882B-BA3DDB845CF8}">
  <dimension ref="A1:Q112"/>
  <sheetViews>
    <sheetView zoomScaleNormal="100" workbookViewId="0">
      <selection activeCell="I4" sqref="I4"/>
    </sheetView>
  </sheetViews>
  <sheetFormatPr baseColWidth="10" defaultRowHeight="15" x14ac:dyDescent="0.25"/>
  <cols>
    <col min="1" max="1" width="18.140625" customWidth="1"/>
    <col min="2" max="2" width="28.5703125" customWidth="1"/>
    <col min="3" max="3" width="13.28515625" customWidth="1"/>
    <col min="4" max="4" width="18.140625" customWidth="1"/>
    <col min="5" max="5" width="20.140625" bestFit="1" customWidth="1"/>
    <col min="6" max="8" width="11.42578125" customWidth="1"/>
    <col min="9" max="9" width="30.42578125" customWidth="1"/>
    <col min="10" max="17" width="13.28515625" customWidth="1"/>
  </cols>
  <sheetData>
    <row r="1" spans="1:17" ht="15.75" x14ac:dyDescent="0.25">
      <c r="A1" s="9" t="s">
        <v>113</v>
      </c>
    </row>
    <row r="2" spans="1:17" x14ac:dyDescent="0.25">
      <c r="A2" s="15" t="s">
        <v>118</v>
      </c>
    </row>
    <row r="3" spans="1:17" x14ac:dyDescent="0.25">
      <c r="A3" s="10" t="s">
        <v>1</v>
      </c>
      <c r="B3" s="10" t="s">
        <v>111</v>
      </c>
      <c r="C3" s="10" t="s">
        <v>119</v>
      </c>
      <c r="D3" s="10" t="s">
        <v>123</v>
      </c>
      <c r="E3" s="10" t="s">
        <v>124</v>
      </c>
      <c r="F3" s="10" t="s">
        <v>100</v>
      </c>
      <c r="G3" s="10" t="s">
        <v>99</v>
      </c>
      <c r="H3" s="10" t="s">
        <v>114</v>
      </c>
      <c r="I3" s="10" t="s">
        <v>2</v>
      </c>
      <c r="J3" s="10" t="s">
        <v>3</v>
      </c>
      <c r="K3" s="11" t="s">
        <v>102</v>
      </c>
      <c r="L3" s="11" t="s">
        <v>103</v>
      </c>
      <c r="M3" s="11" t="s">
        <v>104</v>
      </c>
      <c r="N3" s="16" t="s">
        <v>7</v>
      </c>
      <c r="O3" s="16" t="s">
        <v>8</v>
      </c>
      <c r="P3" s="16" t="s">
        <v>9</v>
      </c>
      <c r="Q3" s="16" t="s">
        <v>10</v>
      </c>
    </row>
    <row r="4" spans="1:17" x14ac:dyDescent="0.25">
      <c r="A4" s="21" t="s">
        <v>126</v>
      </c>
      <c r="B4" s="12" t="s">
        <v>87</v>
      </c>
      <c r="C4" s="21" t="s">
        <v>69</v>
      </c>
      <c r="D4" s="13" t="str">
        <f>IF($B4="","",IFERROR(INDEX('Base de Datos'!$B$6:$B$103,MATCH($B4,'Base de Datos'!$J$6:$J$103,0)),"No encontrado"))</f>
        <v>Marco</v>
      </c>
      <c r="E4" s="21" t="s">
        <v>130</v>
      </c>
      <c r="F4" s="14">
        <f>IF($B4="","",IFERROR(INDEX('Base de Datos'!$C$6:$C$103,MATCH($B4,'Base de Datos'!$J$6:$J$103,0)),""))</f>
        <v>80.009999999999991</v>
      </c>
      <c r="G4" s="21">
        <v>1524</v>
      </c>
      <c r="H4" s="21">
        <v>1193.8</v>
      </c>
      <c r="I4" s="17" t="str">
        <f t="shared" ref="I4:I67" si="0">IF(AND($C4="",$D4=""),"",$C4&amp;" - "&amp;$D4)</f>
        <v>48-14 - Marco</v>
      </c>
      <c r="J4" s="21">
        <v>1</v>
      </c>
      <c r="K4" s="14">
        <f>IF($F4="","",($F4+'Base de Datos'!$B$2)/10)</f>
        <v>11.000999999999999</v>
      </c>
      <c r="L4" s="14">
        <f>IF($G4="","",($G4+'Base de Datos'!$B$2)/10)</f>
        <v>155.4</v>
      </c>
      <c r="M4" s="14">
        <f>IF($H4="","",($H4+'Base de Datos'!$B$2)/10)</f>
        <v>122.38</v>
      </c>
      <c r="N4" s="18"/>
      <c r="O4" s="19"/>
      <c r="P4" s="19"/>
      <c r="Q4" s="19"/>
    </row>
    <row r="5" spans="1:17" x14ac:dyDescent="0.25">
      <c r="A5" s="20" t="s">
        <v>126</v>
      </c>
      <c r="B5" s="12" t="s">
        <v>87</v>
      </c>
      <c r="C5" s="20" t="s">
        <v>80</v>
      </c>
      <c r="D5" s="13" t="str">
        <f>IF($B5="","",IFERROR(INDEX('Base de Datos'!$B$6:$B$103,MATCH($B5,'Base de Datos'!$J$6:$J$103,0)),"No encontrado"))</f>
        <v>Marco</v>
      </c>
      <c r="E5" s="20" t="s">
        <v>130</v>
      </c>
      <c r="F5" s="14">
        <f>IF($B5="","",IFERROR(INDEX('Base de Datos'!$C$6:$C$103,MATCH($B5,'Base de Datos'!$J$6:$J$103,0)),""))</f>
        <v>80.009999999999991</v>
      </c>
      <c r="G5" s="20">
        <v>1651</v>
      </c>
      <c r="H5" s="20">
        <v>596.9</v>
      </c>
      <c r="I5" s="17" t="str">
        <f t="shared" si="0"/>
        <v>33-C15 - Marco</v>
      </c>
      <c r="J5" s="20">
        <v>1</v>
      </c>
      <c r="K5" s="14">
        <f>IF($F5="","",($F5+'Base de Datos'!$B$2)/10)</f>
        <v>11.000999999999999</v>
      </c>
      <c r="L5" s="14">
        <f>IF($G5="","",($G5+'Base de Datos'!$B$2)/10)</f>
        <v>168.1</v>
      </c>
      <c r="M5" s="14">
        <f>IF($H5="","",($H5+'Base de Datos'!$B$2)/10)</f>
        <v>62.69</v>
      </c>
      <c r="N5" s="18"/>
      <c r="O5" s="19"/>
      <c r="P5" s="19"/>
      <c r="Q5" s="19"/>
    </row>
    <row r="6" spans="1:17" x14ac:dyDescent="0.25">
      <c r="A6" s="21" t="s">
        <v>127</v>
      </c>
      <c r="B6" s="12" t="s">
        <v>94</v>
      </c>
      <c r="C6" s="21" t="s">
        <v>36</v>
      </c>
      <c r="D6" s="13" t="str">
        <f>IF($B6="","",IFERROR(INDEX('Base de Datos'!$B$6:$B$103,MATCH($B6,'Base de Datos'!$J$6:$J$103,0)),"No encontrado"))</f>
        <v>Marco</v>
      </c>
      <c r="E6" s="21" t="s">
        <v>130</v>
      </c>
      <c r="F6" s="14">
        <f>IF($B6="","",IFERROR(INDEX('Base de Datos'!$C$6:$C$103,MATCH($B6,'Base de Datos'!$J$6:$J$103,0)),""))</f>
        <v>155.19399999999999</v>
      </c>
      <c r="G6" s="21">
        <v>1080.5</v>
      </c>
      <c r="H6" s="21">
        <v>3035.3</v>
      </c>
      <c r="I6" s="17" t="str">
        <f t="shared" si="0"/>
        <v>24-C8 - Marco</v>
      </c>
      <c r="J6" s="21">
        <v>1</v>
      </c>
      <c r="K6" s="14">
        <f>IF($F6="","",($F6+'Base de Datos'!$B$2)/10)</f>
        <v>18.519399999999997</v>
      </c>
      <c r="L6" s="14">
        <f>IF($G6="","",($G6+'Base de Datos'!$B$2)/10)</f>
        <v>111.05</v>
      </c>
      <c r="M6" s="14">
        <f>IF($H6="","",($H6+'Base de Datos'!$B$2)/10)</f>
        <v>306.53000000000003</v>
      </c>
      <c r="N6" s="18"/>
      <c r="O6" s="19"/>
      <c r="P6" s="19"/>
      <c r="Q6" s="19"/>
    </row>
    <row r="7" spans="1:17" x14ac:dyDescent="0.25">
      <c r="A7" s="21" t="s">
        <v>129</v>
      </c>
      <c r="B7" s="12" t="s">
        <v>91</v>
      </c>
      <c r="C7" s="21" t="s">
        <v>24</v>
      </c>
      <c r="D7" s="13" t="str">
        <f>IF($B7="","",IFERROR(INDEX('Base de Datos'!$B$6:$B$103,MATCH($B7,'Base de Datos'!$J$6:$J$103,0)),"No encontrado"))</f>
        <v>Marco</v>
      </c>
      <c r="E7" s="21" t="s">
        <v>130</v>
      </c>
      <c r="F7" s="14">
        <f>IF($B7="","",IFERROR(INDEX('Base de Datos'!$C$6:$C$103,MATCH($B7,'Base de Datos'!$J$6:$J$103,0)),""))</f>
        <v>150.36799999999999</v>
      </c>
      <c r="G7" s="21">
        <v>762</v>
      </c>
      <c r="H7" s="21">
        <v>2044.7</v>
      </c>
      <c r="I7" s="17" t="str">
        <f t="shared" si="0"/>
        <v>35-C1_A2.2 - Marco</v>
      </c>
      <c r="J7" s="21">
        <v>1</v>
      </c>
      <c r="K7" s="14">
        <f>IF($F7="","",($F7+'Base de Datos'!$B$2)/10)</f>
        <v>18.036799999999999</v>
      </c>
      <c r="L7" s="14">
        <f>IF($G7="","",($G7+'Base de Datos'!$B$2)/10)</f>
        <v>79.2</v>
      </c>
      <c r="M7" s="14">
        <f>IF($H7="","",($H7+'Base de Datos'!$B$2)/10)</f>
        <v>207.46999999999997</v>
      </c>
      <c r="N7" s="18"/>
      <c r="O7" s="19"/>
      <c r="P7" s="19"/>
      <c r="Q7" s="19"/>
    </row>
    <row r="8" spans="1:17" x14ac:dyDescent="0.25">
      <c r="A8" s="21" t="s">
        <v>127</v>
      </c>
      <c r="B8" s="12" t="s">
        <v>94</v>
      </c>
      <c r="C8" s="21" t="s">
        <v>132</v>
      </c>
      <c r="D8" s="13" t="str">
        <f>IF($B8="","",IFERROR(INDEX('Base de Datos'!$B$6:$B$103,MATCH($B8,'Base de Datos'!$J$6:$J$103,0)),"No encontrado"))</f>
        <v>Marco</v>
      </c>
      <c r="E8" s="21" t="s">
        <v>130</v>
      </c>
      <c r="F8" s="14">
        <f>IF($B8="","",IFERROR(INDEX('Base de Datos'!$C$6:$C$103,MATCH($B8,'Base de Datos'!$J$6:$J$103,0)),""))</f>
        <v>155.19399999999999</v>
      </c>
      <c r="G8" s="21">
        <v>998.66200000000003</v>
      </c>
      <c r="H8" s="21">
        <v>3047.4081999999999</v>
      </c>
      <c r="I8" s="17" t="str">
        <f t="shared" si="0"/>
        <v>43-C2-C20_C2 - Marco</v>
      </c>
      <c r="J8" s="21">
        <v>1</v>
      </c>
      <c r="K8" s="14">
        <f>IF($F8="","",($F8+'Base de Datos'!$B$2)/10)</f>
        <v>18.519399999999997</v>
      </c>
      <c r="L8" s="14">
        <f>IF($G8="","",($G8+'Base de Datos'!$B$2)/10)</f>
        <v>102.86620000000001</v>
      </c>
      <c r="M8" s="14">
        <f>IF($H8="","",($H8+'Base de Datos'!$B$2)/10)</f>
        <v>307.74081999999999</v>
      </c>
      <c r="N8" s="18"/>
      <c r="O8" s="19"/>
      <c r="P8" s="19"/>
      <c r="Q8" s="19"/>
    </row>
    <row r="9" spans="1:17" x14ac:dyDescent="0.25">
      <c r="A9" s="20" t="s">
        <v>126</v>
      </c>
      <c r="B9" s="12" t="s">
        <v>87</v>
      </c>
      <c r="C9" s="20" t="s">
        <v>76</v>
      </c>
      <c r="D9" s="13" t="str">
        <f>IF($B9="","",IFERROR(INDEX('Base de Datos'!$B$6:$B$103,MATCH($B9,'Base de Datos'!$J$6:$J$103,0)),"No encontrado"))</f>
        <v>Marco</v>
      </c>
      <c r="E9" s="20" t="s">
        <v>130</v>
      </c>
      <c r="F9" s="14">
        <f>IF($B9="","",IFERROR(INDEX('Base de Datos'!$C$6:$C$103,MATCH($B9,'Base de Datos'!$J$6:$J$103,0)),""))</f>
        <v>80.009999999999991</v>
      </c>
      <c r="G9" s="20">
        <v>901.7</v>
      </c>
      <c r="H9" s="20">
        <v>609.6</v>
      </c>
      <c r="I9" s="17" t="str">
        <f t="shared" si="0"/>
        <v>16-C4 - Marco</v>
      </c>
      <c r="J9" s="20">
        <v>2</v>
      </c>
      <c r="K9" s="14">
        <f>IF($F9="","",($F9+'Base de Datos'!$B$2)/10)</f>
        <v>11.000999999999999</v>
      </c>
      <c r="L9" s="14">
        <f>IF($G9="","",($G9+'Base de Datos'!$B$2)/10)</f>
        <v>93.17</v>
      </c>
      <c r="M9" s="14">
        <f>IF($H9="","",($H9+'Base de Datos'!$B$2)/10)</f>
        <v>63.96</v>
      </c>
      <c r="N9" s="18"/>
      <c r="O9" s="19"/>
      <c r="P9" s="19"/>
      <c r="Q9" s="19"/>
    </row>
    <row r="10" spans="1:17" x14ac:dyDescent="0.25">
      <c r="A10" s="20" t="s">
        <v>126</v>
      </c>
      <c r="B10" s="12" t="s">
        <v>87</v>
      </c>
      <c r="C10" s="20" t="s">
        <v>65</v>
      </c>
      <c r="D10" s="13" t="str">
        <f>IF($B10="","",IFERROR(INDEX('Base de Datos'!$B$6:$B$103,MATCH($B10,'Base de Datos'!$J$6:$J$103,0)),"No encontrado"))</f>
        <v>Marco</v>
      </c>
      <c r="E10" s="20" t="s">
        <v>130</v>
      </c>
      <c r="F10" s="14">
        <f>IF($B10="","",IFERROR(INDEX('Base de Datos'!$C$6:$C$103,MATCH($B10,'Base de Datos'!$J$6:$J$103,0)),""))</f>
        <v>80.009999999999991</v>
      </c>
      <c r="G10" s="20">
        <v>736.6</v>
      </c>
      <c r="H10" s="20">
        <v>1193.8</v>
      </c>
      <c r="I10" s="17" t="str">
        <f t="shared" si="0"/>
        <v>47-A1 - Marco</v>
      </c>
      <c r="J10" s="20">
        <v>1</v>
      </c>
      <c r="K10" s="14">
        <f>IF($F10="","",($F10+'Base de Datos'!$B$2)/10)</f>
        <v>11.000999999999999</v>
      </c>
      <c r="L10" s="14">
        <f>IF($G10="","",($G10+'Base de Datos'!$B$2)/10)</f>
        <v>76.66</v>
      </c>
      <c r="M10" s="14">
        <f>IF($H10="","",($H10+'Base de Datos'!$B$2)/10)</f>
        <v>122.38</v>
      </c>
      <c r="N10" s="18"/>
      <c r="O10" s="19"/>
      <c r="P10" s="19"/>
      <c r="Q10" s="19"/>
    </row>
    <row r="11" spans="1:17" x14ac:dyDescent="0.25">
      <c r="A11" s="21" t="s">
        <v>125</v>
      </c>
      <c r="B11" s="12" t="s">
        <v>116</v>
      </c>
      <c r="C11" s="21" t="s">
        <v>23</v>
      </c>
      <c r="D11" s="13" t="str">
        <f>IF($B11="","",IFERROR(INDEX('Base de Datos'!$B$6:$B$103,MATCH($B11,'Base de Datos'!$J$6:$J$103,0)),"No encontrado"))</f>
        <v>Hoja Activa</v>
      </c>
      <c r="E11" s="21" t="s">
        <v>131</v>
      </c>
      <c r="F11" s="14">
        <f>IF($B11="","",IFERROR(INDEX('Base de Datos'!$C$6:$C$103,MATCH($B11,'Base de Datos'!$J$6:$J$103,0)),""))</f>
        <v>152.14599999999999</v>
      </c>
      <c r="G11" s="21">
        <v>1142.2072000000001</v>
      </c>
      <c r="H11" s="21">
        <v>2405.2001</v>
      </c>
      <c r="I11" s="17" t="str">
        <f t="shared" si="0"/>
        <v>58-013 - Hoja Activa</v>
      </c>
      <c r="J11" s="21">
        <v>1</v>
      </c>
      <c r="K11" s="14">
        <f>IF($F11="","",($F11+'Base de Datos'!$B$2)/10)</f>
        <v>18.214599999999997</v>
      </c>
      <c r="L11" s="14">
        <f>IF($G11="","",($G11+'Base de Datos'!$B$2)/10)</f>
        <v>117.22072</v>
      </c>
      <c r="M11" s="14">
        <f>IF($H11="","",($H11+'Base de Datos'!$B$2)/10)</f>
        <v>243.52001000000001</v>
      </c>
      <c r="N11" s="18"/>
      <c r="O11" s="19"/>
      <c r="P11" s="19"/>
      <c r="Q11" s="19"/>
    </row>
    <row r="12" spans="1:17" x14ac:dyDescent="0.25">
      <c r="A12" s="20" t="s">
        <v>127</v>
      </c>
      <c r="B12" s="12" t="s">
        <v>94</v>
      </c>
      <c r="C12" s="20" t="s">
        <v>132</v>
      </c>
      <c r="D12" s="13" t="str">
        <f>IF($B12="","",IFERROR(INDEX('Base de Datos'!$B$6:$B$103,MATCH($B12,'Base de Datos'!$J$6:$J$103,0)),"No encontrado"))</f>
        <v>Marco</v>
      </c>
      <c r="E12" s="20" t="s">
        <v>130</v>
      </c>
      <c r="F12" s="14">
        <f>IF($B12="","",IFERROR(INDEX('Base de Datos'!$C$6:$C$103,MATCH($B12,'Base de Datos'!$J$6:$J$103,0)),""))</f>
        <v>155.19399999999999</v>
      </c>
      <c r="G12" s="20">
        <v>758.23749999999995</v>
      </c>
      <c r="H12" s="20">
        <v>3047.4081999999999</v>
      </c>
      <c r="I12" s="17" t="str">
        <f t="shared" si="0"/>
        <v>43-C2-C20_C2 - Marco</v>
      </c>
      <c r="J12" s="20">
        <v>1</v>
      </c>
      <c r="K12" s="14">
        <f>IF($F12="","",($F12+'Base de Datos'!$B$2)/10)</f>
        <v>18.519399999999997</v>
      </c>
      <c r="L12" s="14">
        <f>IF($G12="","",($G12+'Base de Datos'!$B$2)/10)</f>
        <v>78.82374999999999</v>
      </c>
      <c r="M12" s="14">
        <f>IF($H12="","",($H12+'Base de Datos'!$B$2)/10)</f>
        <v>307.74081999999999</v>
      </c>
      <c r="N12" s="18"/>
      <c r="O12" s="19"/>
      <c r="P12" s="19"/>
      <c r="Q12" s="19"/>
    </row>
    <row r="13" spans="1:17" x14ac:dyDescent="0.25">
      <c r="A13" s="21" t="s">
        <v>125</v>
      </c>
      <c r="B13" s="12" t="s">
        <v>115</v>
      </c>
      <c r="C13" s="21" t="s">
        <v>23</v>
      </c>
      <c r="D13" s="13" t="str">
        <f>IF($B13="","",IFERROR(INDEX('Base de Datos'!$B$6:$B$103,MATCH($B13,'Base de Datos'!$J$6:$J$103,0)),"No encontrado"))</f>
        <v>Hoja que recibe</v>
      </c>
      <c r="E13" s="21" t="s">
        <v>131</v>
      </c>
      <c r="F13" s="14">
        <f>IF($B13="","",IFERROR(INDEX('Base de Datos'!$C$6:$C$103,MATCH($B13,'Base de Datos'!$J$6:$J$103,0)),""))</f>
        <v>94.995999999999995</v>
      </c>
      <c r="G13" s="21">
        <v>1142.2072000000001</v>
      </c>
      <c r="H13" s="21">
        <v>2405.2001</v>
      </c>
      <c r="I13" s="17" t="str">
        <f t="shared" si="0"/>
        <v>58-013 - Hoja que recibe</v>
      </c>
      <c r="J13" s="21">
        <v>1</v>
      </c>
      <c r="K13" s="14">
        <f>IF($F13="","",($F13+'Base de Datos'!$B$2)/10)</f>
        <v>12.499599999999999</v>
      </c>
      <c r="L13" s="14">
        <f>IF($G13="","",($G13+'Base de Datos'!$B$2)/10)</f>
        <v>117.22072</v>
      </c>
      <c r="M13" s="14">
        <f>IF($H13="","",($H13+'Base de Datos'!$B$2)/10)</f>
        <v>243.52001000000001</v>
      </c>
      <c r="N13" s="18"/>
      <c r="O13" s="19"/>
      <c r="P13" s="19"/>
      <c r="Q13" s="19"/>
    </row>
    <row r="14" spans="1:17" x14ac:dyDescent="0.25">
      <c r="A14" s="20" t="s">
        <v>125</v>
      </c>
      <c r="B14" s="12" t="s">
        <v>116</v>
      </c>
      <c r="C14" s="20" t="s">
        <v>17</v>
      </c>
      <c r="D14" s="13" t="str">
        <f>IF($B14="","",IFERROR(INDEX('Base de Datos'!$B$6:$B$103,MATCH($B14,'Base de Datos'!$J$6:$J$103,0)),"No encontrado"))</f>
        <v>Hoja Activa</v>
      </c>
      <c r="E14" s="20" t="s">
        <v>131</v>
      </c>
      <c r="F14" s="14">
        <f>IF($B14="","",IFERROR(INDEX('Base de Datos'!$C$6:$C$103,MATCH($B14,'Base de Datos'!$J$6:$J$103,0)),""))</f>
        <v>152.14599999999999</v>
      </c>
      <c r="G14" s="20">
        <v>1432.86</v>
      </c>
      <c r="H14" s="20">
        <v>2405.2001</v>
      </c>
      <c r="I14" s="17" t="str">
        <f t="shared" si="0"/>
        <v>59-010 - Hoja Activa</v>
      </c>
      <c r="J14" s="20">
        <v>1</v>
      </c>
      <c r="K14" s="14">
        <f>IF($F14="","",($F14+'Base de Datos'!$B$2)/10)</f>
        <v>18.214599999999997</v>
      </c>
      <c r="L14" s="14">
        <f>IF($G14="","",($G14+'Base de Datos'!$B$2)/10)</f>
        <v>146.286</v>
      </c>
      <c r="M14" s="14">
        <f>IF($H14="","",($H14+'Base de Datos'!$B$2)/10)</f>
        <v>243.52001000000001</v>
      </c>
      <c r="N14" s="18"/>
      <c r="O14" s="19"/>
      <c r="P14" s="19"/>
      <c r="Q14" s="19"/>
    </row>
    <row r="15" spans="1:17" x14ac:dyDescent="0.25">
      <c r="A15" s="21" t="s">
        <v>126</v>
      </c>
      <c r="B15" s="12" t="s">
        <v>87</v>
      </c>
      <c r="C15" s="21" t="s">
        <v>60</v>
      </c>
      <c r="D15" s="13" t="str">
        <f>IF($B15="","",IFERROR(INDEX('Base de Datos'!$B$6:$B$103,MATCH($B15,'Base de Datos'!$J$6:$J$103,0)),"No encontrado"))</f>
        <v>Marco</v>
      </c>
      <c r="E15" s="21" t="s">
        <v>130</v>
      </c>
      <c r="F15" s="14">
        <f>IF($B15="","",IFERROR(INDEX('Base de Datos'!$C$6:$C$103,MATCH($B15,'Base de Datos'!$J$6:$J$103,0)),""))</f>
        <v>80.009999999999991</v>
      </c>
      <c r="G15" s="21">
        <v>1651</v>
      </c>
      <c r="H15" s="21">
        <v>596.9</v>
      </c>
      <c r="I15" s="17" t="str">
        <f t="shared" si="0"/>
        <v>32-C15 - Marco</v>
      </c>
      <c r="J15" s="21">
        <v>1</v>
      </c>
      <c r="K15" s="14">
        <f>IF($F15="","",($F15+'Base de Datos'!$B$2)/10)</f>
        <v>11.000999999999999</v>
      </c>
      <c r="L15" s="14">
        <f>IF($G15="","",($G15+'Base de Datos'!$B$2)/10)</f>
        <v>168.1</v>
      </c>
      <c r="M15" s="14">
        <f>IF($H15="","",($H15+'Base de Datos'!$B$2)/10)</f>
        <v>62.69</v>
      </c>
      <c r="N15" s="18"/>
      <c r="O15" s="19"/>
      <c r="P15" s="19"/>
      <c r="Q15" s="19"/>
    </row>
    <row r="16" spans="1:17" x14ac:dyDescent="0.25">
      <c r="A16" s="20" t="s">
        <v>127</v>
      </c>
      <c r="B16" s="12" t="s">
        <v>94</v>
      </c>
      <c r="C16" s="20" t="s">
        <v>50</v>
      </c>
      <c r="D16" s="13" t="str">
        <f>IF($B16="","",IFERROR(INDEX('Base de Datos'!$B$6:$B$103,MATCH($B16,'Base de Datos'!$J$6:$J$103,0)),"No encontrado"))</f>
        <v>Marco</v>
      </c>
      <c r="E16" s="20" t="s">
        <v>130</v>
      </c>
      <c r="F16" s="14">
        <f>IF($B16="","",IFERROR(INDEX('Base de Datos'!$C$6:$C$103,MATCH($B16,'Base de Datos'!$J$6:$J$103,0)),""))</f>
        <v>155.19399999999999</v>
      </c>
      <c r="G16" s="20">
        <v>1498.7753</v>
      </c>
      <c r="H16" s="20">
        <v>2044.7</v>
      </c>
      <c r="I16" s="17" t="str">
        <f t="shared" si="0"/>
        <v>35-C12_C15 - Marco</v>
      </c>
      <c r="J16" s="20">
        <v>1</v>
      </c>
      <c r="K16" s="14">
        <f>IF($F16="","",($F16+'Base de Datos'!$B$2)/10)</f>
        <v>18.519399999999997</v>
      </c>
      <c r="L16" s="14">
        <f>IF($G16="","",($G16+'Base de Datos'!$B$2)/10)</f>
        <v>152.87753000000001</v>
      </c>
      <c r="M16" s="14">
        <f>IF($H16="","",($H16+'Base de Datos'!$B$2)/10)</f>
        <v>207.46999999999997</v>
      </c>
      <c r="N16" s="18"/>
      <c r="O16" s="19"/>
      <c r="P16" s="19"/>
      <c r="Q16" s="19"/>
    </row>
    <row r="17" spans="1:17" x14ac:dyDescent="0.25">
      <c r="A17" s="20" t="s">
        <v>126</v>
      </c>
      <c r="B17" s="12" t="s">
        <v>87</v>
      </c>
      <c r="C17" s="20" t="s">
        <v>55</v>
      </c>
      <c r="D17" s="13" t="str">
        <f>IF($B17="","",IFERROR(INDEX('Base de Datos'!$B$6:$B$103,MATCH($B17,'Base de Datos'!$J$6:$J$103,0)),"No encontrado"))</f>
        <v>Marco</v>
      </c>
      <c r="E17" s="20" t="s">
        <v>130</v>
      </c>
      <c r="F17" s="14">
        <f>IF($B17="","",IFERROR(INDEX('Base de Datos'!$C$6:$C$103,MATCH($B17,'Base de Datos'!$J$6:$J$103,0)),""))</f>
        <v>80.009999999999991</v>
      </c>
      <c r="G17" s="20">
        <v>736.6</v>
      </c>
      <c r="H17" s="20">
        <v>2413</v>
      </c>
      <c r="I17" s="17" t="str">
        <f t="shared" si="0"/>
        <v>31-C1_A3 - Marco</v>
      </c>
      <c r="J17" s="20">
        <v>1</v>
      </c>
      <c r="K17" s="14">
        <f>IF($F17="","",($F17+'Base de Datos'!$B$2)/10)</f>
        <v>11.000999999999999</v>
      </c>
      <c r="L17" s="14">
        <f>IF($G17="","",($G17+'Base de Datos'!$B$2)/10)</f>
        <v>76.66</v>
      </c>
      <c r="M17" s="14">
        <f>IF($H17="","",($H17+'Base de Datos'!$B$2)/10)</f>
        <v>244.3</v>
      </c>
      <c r="N17" s="18"/>
      <c r="O17" s="19"/>
      <c r="P17" s="19"/>
      <c r="Q17" s="19"/>
    </row>
    <row r="18" spans="1:17" x14ac:dyDescent="0.25">
      <c r="A18" s="21" t="s">
        <v>128</v>
      </c>
      <c r="B18" s="12" t="s">
        <v>109</v>
      </c>
      <c r="C18" s="21" t="s">
        <v>33</v>
      </c>
      <c r="D18" s="13" t="str">
        <f>IF($B18="","",IFERROR(INDEX('Base de Datos'!$B$6:$B$103,MATCH($B18,'Base de Datos'!$J$6:$J$103,0)),"No encontrado"))</f>
        <v>Marco</v>
      </c>
      <c r="E18" s="21" t="s">
        <v>130</v>
      </c>
      <c r="F18" s="14">
        <f>IF($B18="","",IFERROR(INDEX('Base de Datos'!$C$6:$C$103,MATCH($B18,'Base de Datos'!$J$6:$J$103,0)),""))</f>
        <v>90.932000000000002</v>
      </c>
      <c r="G18" s="21">
        <v>965.2</v>
      </c>
      <c r="H18" s="21">
        <v>2438.3998999999999</v>
      </c>
      <c r="I18" s="17" t="str">
        <f t="shared" si="0"/>
        <v>9-003 - Marco</v>
      </c>
      <c r="J18" s="21">
        <v>1</v>
      </c>
      <c r="K18" s="14">
        <f>IF($F18="","",($F18+'Base de Datos'!$B$2)/10)</f>
        <v>12.0932</v>
      </c>
      <c r="L18" s="14">
        <f>IF($G18="","",($G18+'Base de Datos'!$B$2)/10)</f>
        <v>99.52000000000001</v>
      </c>
      <c r="M18" s="14">
        <f>IF($H18="","",($H18+'Base de Datos'!$B$2)/10)</f>
        <v>246.83999</v>
      </c>
      <c r="N18" s="18"/>
      <c r="O18" s="19"/>
      <c r="P18" s="19"/>
      <c r="Q18" s="19"/>
    </row>
    <row r="19" spans="1:17" x14ac:dyDescent="0.25">
      <c r="A19" s="20" t="s">
        <v>126</v>
      </c>
      <c r="B19" s="12" t="s">
        <v>87</v>
      </c>
      <c r="C19" s="20" t="s">
        <v>59</v>
      </c>
      <c r="D19" s="13" t="str">
        <f>IF($B19="","",IFERROR(INDEX('Base de Datos'!$B$6:$B$103,MATCH($B19,'Base de Datos'!$J$6:$J$103,0)),"No encontrado"))</f>
        <v>Marco</v>
      </c>
      <c r="E19" s="20" t="s">
        <v>130</v>
      </c>
      <c r="F19" s="14">
        <f>IF($B19="","",IFERROR(INDEX('Base de Datos'!$C$6:$C$103,MATCH($B19,'Base de Datos'!$J$6:$J$103,0)),""))</f>
        <v>80.009999999999991</v>
      </c>
      <c r="G19" s="20">
        <v>965.2</v>
      </c>
      <c r="H19" s="20">
        <v>1177.925</v>
      </c>
      <c r="I19" s="17" t="str">
        <f t="shared" si="0"/>
        <v>4 - Marco</v>
      </c>
      <c r="J19" s="20">
        <v>1</v>
      </c>
      <c r="K19" s="14">
        <f>IF($F19="","",($F19+'Base de Datos'!$B$2)/10)</f>
        <v>11.000999999999999</v>
      </c>
      <c r="L19" s="14">
        <f>IF($G19="","",($G19+'Base de Datos'!$B$2)/10)</f>
        <v>99.52000000000001</v>
      </c>
      <c r="M19" s="14">
        <f>IF($H19="","",($H19+'Base de Datos'!$B$2)/10)</f>
        <v>120.79249999999999</v>
      </c>
      <c r="N19" s="18"/>
      <c r="O19" s="19"/>
      <c r="P19" s="19"/>
      <c r="Q19" s="19"/>
    </row>
    <row r="20" spans="1:17" x14ac:dyDescent="0.25">
      <c r="A20" s="21" t="s">
        <v>126</v>
      </c>
      <c r="B20" s="12" t="s">
        <v>87</v>
      </c>
      <c r="C20" s="21" t="s">
        <v>62</v>
      </c>
      <c r="D20" s="13" t="str">
        <f>IF($B20="","",IFERROR(INDEX('Base de Datos'!$B$6:$B$103,MATCH($B20,'Base de Datos'!$J$6:$J$103,0)),"No encontrado"))</f>
        <v>Marco</v>
      </c>
      <c r="E20" s="21" t="s">
        <v>130</v>
      </c>
      <c r="F20" s="14">
        <f>IF($B20="","",IFERROR(INDEX('Base de Datos'!$C$6:$C$103,MATCH($B20,'Base de Datos'!$J$6:$J$103,0)),""))</f>
        <v>80.009999999999991</v>
      </c>
      <c r="G20" s="21">
        <v>1498.6</v>
      </c>
      <c r="H20" s="21">
        <v>2108.1999999999998</v>
      </c>
      <c r="I20" s="17" t="str">
        <f t="shared" si="0"/>
        <v>12-C12_B1 - Marco</v>
      </c>
      <c r="J20" s="21">
        <v>1</v>
      </c>
      <c r="K20" s="14">
        <f>IF($F20="","",($F20+'Base de Datos'!$B$2)/10)</f>
        <v>11.000999999999999</v>
      </c>
      <c r="L20" s="14">
        <f>IF($G20="","",($G20+'Base de Datos'!$B$2)/10)</f>
        <v>152.85999999999999</v>
      </c>
      <c r="M20" s="14">
        <f>IF($H20="","",($H20+'Base de Datos'!$B$2)/10)</f>
        <v>213.82</v>
      </c>
      <c r="N20" s="18"/>
      <c r="O20" s="19"/>
      <c r="P20" s="19"/>
      <c r="Q20" s="19"/>
    </row>
    <row r="21" spans="1:17" x14ac:dyDescent="0.25">
      <c r="A21" s="20" t="s">
        <v>126</v>
      </c>
      <c r="B21" s="12" t="s">
        <v>87</v>
      </c>
      <c r="C21" s="20" t="s">
        <v>79</v>
      </c>
      <c r="D21" s="13" t="str">
        <f>IF($B21="","",IFERROR(INDEX('Base de Datos'!$B$6:$B$103,MATCH($B21,'Base de Datos'!$J$6:$J$103,0)),"No encontrado"))</f>
        <v>Marco</v>
      </c>
      <c r="E21" s="20" t="s">
        <v>130</v>
      </c>
      <c r="F21" s="14">
        <f>IF($B21="","",IFERROR(INDEX('Base de Datos'!$C$6:$C$103,MATCH($B21,'Base de Datos'!$J$6:$J$103,0)),""))</f>
        <v>80.009999999999991</v>
      </c>
      <c r="G21" s="20">
        <v>736.6</v>
      </c>
      <c r="H21" s="20">
        <v>2108.1999999999998</v>
      </c>
      <c r="I21" s="17" t="str">
        <f t="shared" si="0"/>
        <v>18-C1_A2 - Marco</v>
      </c>
      <c r="J21" s="20">
        <v>1</v>
      </c>
      <c r="K21" s="14">
        <f>IF($F21="","",($F21+'Base de Datos'!$B$2)/10)</f>
        <v>11.000999999999999</v>
      </c>
      <c r="L21" s="14">
        <f>IF($G21="","",($G21+'Base de Datos'!$B$2)/10)</f>
        <v>76.66</v>
      </c>
      <c r="M21" s="14">
        <f>IF($H21="","",($H21+'Base de Datos'!$B$2)/10)</f>
        <v>213.82</v>
      </c>
      <c r="N21" s="18"/>
      <c r="O21" s="19"/>
      <c r="P21" s="19"/>
      <c r="Q21" s="19"/>
    </row>
    <row r="22" spans="1:17" x14ac:dyDescent="0.25">
      <c r="A22" s="21" t="s">
        <v>127</v>
      </c>
      <c r="B22" s="12" t="s">
        <v>94</v>
      </c>
      <c r="C22" s="21" t="s">
        <v>46</v>
      </c>
      <c r="D22" s="13" t="str">
        <f>IF($B22="","",IFERROR(INDEX('Base de Datos'!$B$6:$B$103,MATCH($B22,'Base de Datos'!$J$6:$J$103,0)),"No encontrado"))</f>
        <v>Marco</v>
      </c>
      <c r="E22" s="21" t="s">
        <v>130</v>
      </c>
      <c r="F22" s="14">
        <f>IF($B22="","",IFERROR(INDEX('Base de Datos'!$C$6:$C$103,MATCH($B22,'Base de Datos'!$J$6:$J$103,0)),""))</f>
        <v>155.19399999999999</v>
      </c>
      <c r="G22" s="21">
        <v>1524</v>
      </c>
      <c r="H22" s="21">
        <v>2425.6999999999998</v>
      </c>
      <c r="I22" s="17" t="str">
        <f t="shared" si="0"/>
        <v>2-C17 - Marco</v>
      </c>
      <c r="J22" s="21">
        <v>1</v>
      </c>
      <c r="K22" s="14">
        <f>IF($F22="","",($F22+'Base de Datos'!$B$2)/10)</f>
        <v>18.519399999999997</v>
      </c>
      <c r="L22" s="14">
        <f>IF($G22="","",($G22+'Base de Datos'!$B$2)/10)</f>
        <v>155.4</v>
      </c>
      <c r="M22" s="14">
        <f>IF($H22="","",($H22+'Base de Datos'!$B$2)/10)</f>
        <v>245.57</v>
      </c>
      <c r="N22" s="18"/>
      <c r="O22" s="19"/>
      <c r="P22" s="19"/>
      <c r="Q22" s="19"/>
    </row>
    <row r="23" spans="1:17" x14ac:dyDescent="0.25">
      <c r="A23" s="20" t="s">
        <v>128</v>
      </c>
      <c r="B23" s="12" t="s">
        <v>109</v>
      </c>
      <c r="C23" s="20" t="s">
        <v>32</v>
      </c>
      <c r="D23" s="13" t="str">
        <f>IF($B23="","",IFERROR(INDEX('Base de Datos'!$B$6:$B$103,MATCH($B23,'Base de Datos'!$J$6:$J$103,0)),"No encontrado"))</f>
        <v>Marco</v>
      </c>
      <c r="E23" s="20" t="s">
        <v>130</v>
      </c>
      <c r="F23" s="14">
        <f>IF($B23="","",IFERROR(INDEX('Base de Datos'!$C$6:$C$103,MATCH($B23,'Base de Datos'!$J$6:$J$103,0)),""))</f>
        <v>90.932000000000002</v>
      </c>
      <c r="G23" s="20">
        <v>863.6</v>
      </c>
      <c r="H23" s="20">
        <v>2438.3998999999999</v>
      </c>
      <c r="I23" s="17" t="str">
        <f t="shared" si="0"/>
        <v>29-C3_004 - Marco</v>
      </c>
      <c r="J23" s="20">
        <v>1</v>
      </c>
      <c r="K23" s="14">
        <f>IF($F23="","",($F23+'Base de Datos'!$B$2)/10)</f>
        <v>12.0932</v>
      </c>
      <c r="L23" s="14">
        <f>IF($G23="","",($G23+'Base de Datos'!$B$2)/10)</f>
        <v>89.36</v>
      </c>
      <c r="M23" s="14">
        <f>IF($H23="","",($H23+'Base de Datos'!$B$2)/10)</f>
        <v>246.83999</v>
      </c>
      <c r="N23" s="18"/>
      <c r="O23" s="19"/>
      <c r="P23" s="19"/>
      <c r="Q23" s="19"/>
    </row>
    <row r="24" spans="1:17" x14ac:dyDescent="0.25">
      <c r="A24" s="21" t="s">
        <v>126</v>
      </c>
      <c r="B24" s="12" t="s">
        <v>87</v>
      </c>
      <c r="C24" s="21" t="s">
        <v>75</v>
      </c>
      <c r="D24" s="13" t="str">
        <f>IF($B24="","",IFERROR(INDEX('Base de Datos'!$B$6:$B$103,MATCH($B24,'Base de Datos'!$J$6:$J$103,0)),"No encontrado"))</f>
        <v>Marco</v>
      </c>
      <c r="E24" s="21" t="s">
        <v>130</v>
      </c>
      <c r="F24" s="14">
        <f>IF($B24="","",IFERROR(INDEX('Base de Datos'!$C$6:$C$103,MATCH($B24,'Base de Datos'!$J$6:$J$103,0)),""))</f>
        <v>80.009999999999991</v>
      </c>
      <c r="G24" s="21">
        <v>901.7</v>
      </c>
      <c r="H24" s="21">
        <v>609.6</v>
      </c>
      <c r="I24" s="17" t="str">
        <f t="shared" si="0"/>
        <v>17-C4 - Marco</v>
      </c>
      <c r="J24" s="21">
        <v>1</v>
      </c>
      <c r="K24" s="14">
        <f>IF($F24="","",($F24+'Base de Datos'!$B$2)/10)</f>
        <v>11.000999999999999</v>
      </c>
      <c r="L24" s="14">
        <f>IF($G24="","",($G24+'Base de Datos'!$B$2)/10)</f>
        <v>93.17</v>
      </c>
      <c r="M24" s="14">
        <f>IF($H24="","",($H24+'Base de Datos'!$B$2)/10)</f>
        <v>63.96</v>
      </c>
      <c r="N24" s="18"/>
      <c r="O24" s="19"/>
      <c r="P24" s="19"/>
      <c r="Q24" s="19"/>
    </row>
    <row r="25" spans="1:17" x14ac:dyDescent="0.25">
      <c r="A25" s="20" t="s">
        <v>127</v>
      </c>
      <c r="B25" s="12" t="s">
        <v>94</v>
      </c>
      <c r="C25" s="20" t="s">
        <v>43</v>
      </c>
      <c r="D25" s="13" t="str">
        <f>IF($B25="","",IFERROR(INDEX('Base de Datos'!$B$6:$B$103,MATCH($B25,'Base de Datos'!$J$6:$J$103,0)),"No encontrado"))</f>
        <v>Marco</v>
      </c>
      <c r="E25" s="20" t="s">
        <v>130</v>
      </c>
      <c r="F25" s="14">
        <f>IF($B25="","",IFERROR(INDEX('Base de Datos'!$C$6:$C$103,MATCH($B25,'Base de Datos'!$J$6:$J$103,0)),""))</f>
        <v>155.19399999999999</v>
      </c>
      <c r="G25" s="20">
        <v>1222.4000000000001</v>
      </c>
      <c r="H25" s="20">
        <v>3035.3</v>
      </c>
      <c r="I25" s="17" t="str">
        <f t="shared" si="0"/>
        <v>27-012 - Marco</v>
      </c>
      <c r="J25" s="20">
        <v>1</v>
      </c>
      <c r="K25" s="14">
        <f>IF($F25="","",($F25+'Base de Datos'!$B$2)/10)</f>
        <v>18.519399999999997</v>
      </c>
      <c r="L25" s="14">
        <f>IF($G25="","",($G25+'Base de Datos'!$B$2)/10)</f>
        <v>125.24000000000001</v>
      </c>
      <c r="M25" s="14">
        <f>IF($H25="","",($H25+'Base de Datos'!$B$2)/10)</f>
        <v>306.53000000000003</v>
      </c>
      <c r="N25" s="18"/>
      <c r="O25" s="19"/>
      <c r="P25" s="19"/>
      <c r="Q25" s="19"/>
    </row>
    <row r="26" spans="1:17" x14ac:dyDescent="0.25">
      <c r="A26" s="21" t="s">
        <v>127</v>
      </c>
      <c r="B26" s="12" t="s">
        <v>94</v>
      </c>
      <c r="C26" s="21" t="s">
        <v>39</v>
      </c>
      <c r="D26" s="13" t="str">
        <f>IF($B26="","",IFERROR(INDEX('Base de Datos'!$B$6:$B$103,MATCH($B26,'Base de Datos'!$J$6:$J$103,0)),"No encontrado"))</f>
        <v>Marco</v>
      </c>
      <c r="E26" s="21" t="s">
        <v>130</v>
      </c>
      <c r="F26" s="14">
        <f>IF($B26="","",IFERROR(INDEX('Base de Datos'!$C$6:$C$103,MATCH($B26,'Base de Datos'!$J$6:$J$103,0)),""))</f>
        <v>155.19399999999999</v>
      </c>
      <c r="G26" s="21">
        <v>1080.5</v>
      </c>
      <c r="H26" s="21">
        <v>2438.3998999999999</v>
      </c>
      <c r="I26" s="17" t="str">
        <f t="shared" si="0"/>
        <v>54-C7 - Marco</v>
      </c>
      <c r="J26" s="21">
        <v>1</v>
      </c>
      <c r="K26" s="14">
        <f>IF($F26="","",($F26+'Base de Datos'!$B$2)/10)</f>
        <v>18.519399999999997</v>
      </c>
      <c r="L26" s="14">
        <f>IF($G26="","",($G26+'Base de Datos'!$B$2)/10)</f>
        <v>111.05</v>
      </c>
      <c r="M26" s="14">
        <f>IF($H26="","",($H26+'Base de Datos'!$B$2)/10)</f>
        <v>246.83999</v>
      </c>
      <c r="N26" s="18"/>
      <c r="O26" s="19"/>
      <c r="P26" s="19"/>
      <c r="Q26" s="19"/>
    </row>
    <row r="27" spans="1:17" x14ac:dyDescent="0.25">
      <c r="A27" s="20" t="s">
        <v>127</v>
      </c>
      <c r="B27" s="12" t="s">
        <v>94</v>
      </c>
      <c r="C27" s="20" t="s">
        <v>45</v>
      </c>
      <c r="D27" s="13" t="str">
        <f>IF($B27="","",IFERROR(INDEX('Base de Datos'!$B$6:$B$103,MATCH($B27,'Base de Datos'!$J$6:$J$103,0)),"No encontrado"))</f>
        <v>Marco</v>
      </c>
      <c r="E27" s="20" t="s">
        <v>130</v>
      </c>
      <c r="F27" s="14">
        <f>IF($B27="","",IFERROR(INDEX('Base de Datos'!$C$6:$C$103,MATCH($B27,'Base de Datos'!$J$6:$J$103,0)),""))</f>
        <v>155.19399999999999</v>
      </c>
      <c r="G27" s="20">
        <v>2133.6001000000001</v>
      </c>
      <c r="H27" s="20">
        <v>4010.1012999999998</v>
      </c>
      <c r="I27" s="17" t="str">
        <f t="shared" si="0"/>
        <v>6-C18 - Marco</v>
      </c>
      <c r="J27" s="20">
        <v>1</v>
      </c>
      <c r="K27" s="14">
        <f>IF($F27="","",($F27+'Base de Datos'!$B$2)/10)</f>
        <v>18.519399999999997</v>
      </c>
      <c r="L27" s="14">
        <f>IF($G27="","",($G27+'Base de Datos'!$B$2)/10)</f>
        <v>216.36001000000002</v>
      </c>
      <c r="M27" s="14">
        <f>IF($H27="","",($H27+'Base de Datos'!$B$2)/10)</f>
        <v>404.01013</v>
      </c>
      <c r="N27" s="18"/>
      <c r="O27" s="19"/>
      <c r="P27" s="19"/>
      <c r="Q27" s="19"/>
    </row>
    <row r="28" spans="1:17" x14ac:dyDescent="0.25">
      <c r="A28" s="21" t="s">
        <v>125</v>
      </c>
      <c r="B28" s="12" t="s">
        <v>116</v>
      </c>
      <c r="C28" s="21" t="s">
        <v>17</v>
      </c>
      <c r="D28" s="13" t="str">
        <f>IF($B28="","",IFERROR(INDEX('Base de Datos'!$B$6:$B$103,MATCH($B28,'Base de Datos'!$J$6:$J$103,0)),"No encontrado"))</f>
        <v>Hoja Activa</v>
      </c>
      <c r="E28" s="21" t="s">
        <v>131</v>
      </c>
      <c r="F28" s="14">
        <f>IF($B28="","",IFERROR(INDEX('Base de Datos'!$C$6:$C$103,MATCH($B28,'Base de Datos'!$J$6:$J$103,0)),""))</f>
        <v>152.14599999999999</v>
      </c>
      <c r="G28" s="20">
        <v>1432.86</v>
      </c>
      <c r="H28" s="21">
        <v>2405.2001</v>
      </c>
      <c r="I28" s="17" t="str">
        <f t="shared" si="0"/>
        <v>59-010 - Hoja Activa</v>
      </c>
      <c r="J28" s="21">
        <v>1</v>
      </c>
      <c r="K28" s="14">
        <f>IF($F28="","",($F28+'Base de Datos'!$B$2)/10)</f>
        <v>18.214599999999997</v>
      </c>
      <c r="L28" s="14">
        <f>IF($G28="","",($G28+'Base de Datos'!$B$2)/10)</f>
        <v>146.286</v>
      </c>
      <c r="M28" s="14">
        <f>IF($H28="","",($H28+'Base de Datos'!$B$2)/10)</f>
        <v>243.52001000000001</v>
      </c>
    </row>
    <row r="29" spans="1:17" x14ac:dyDescent="0.25">
      <c r="A29" s="20" t="s">
        <v>127</v>
      </c>
      <c r="B29" s="12" t="s">
        <v>94</v>
      </c>
      <c r="C29" s="20" t="s">
        <v>40</v>
      </c>
      <c r="D29" s="13" t="str">
        <f>IF($B29="","",IFERROR(INDEX('Base de Datos'!$B$6:$B$103,MATCH($B29,'Base de Datos'!$J$6:$J$103,0)),"No encontrado"))</f>
        <v>Marco</v>
      </c>
      <c r="E29" s="20" t="s">
        <v>130</v>
      </c>
      <c r="F29" s="14">
        <f>IF($B29="","",IFERROR(INDEX('Base de Datos'!$C$6:$C$103,MATCH($B29,'Base de Datos'!$J$6:$J$103,0)),""))</f>
        <v>155.19399999999999</v>
      </c>
      <c r="G29" s="20">
        <v>1232.8998999999999</v>
      </c>
      <c r="H29" s="20">
        <v>3035.3</v>
      </c>
      <c r="I29" s="17" t="str">
        <f t="shared" si="0"/>
        <v>23-C9 - Marco</v>
      </c>
      <c r="J29" s="20">
        <v>1</v>
      </c>
      <c r="K29" s="14">
        <f>IF($F29="","",($F29+'Base de Datos'!$B$2)/10)</f>
        <v>18.519399999999997</v>
      </c>
      <c r="L29" s="14">
        <f>IF($G29="","",($G29+'Base de Datos'!$B$2)/10)</f>
        <v>126.28998999999999</v>
      </c>
      <c r="M29" s="14">
        <f>IF($H29="","",($H29+'Base de Datos'!$B$2)/10)</f>
        <v>306.53000000000003</v>
      </c>
      <c r="N29" s="18"/>
      <c r="O29" s="19"/>
      <c r="P29" s="19"/>
      <c r="Q29" s="19"/>
    </row>
    <row r="30" spans="1:17" x14ac:dyDescent="0.25">
      <c r="A30" s="20" t="s">
        <v>127</v>
      </c>
      <c r="B30" s="12" t="s">
        <v>94</v>
      </c>
      <c r="C30" s="20" t="s">
        <v>49</v>
      </c>
      <c r="D30" s="13" t="str">
        <f>IF($B30="","",IFERROR(INDEX('Base de Datos'!$B$6:$B$103,MATCH($B30,'Base de Datos'!$J$6:$J$103,0)),"No encontrado"))</f>
        <v>Marco</v>
      </c>
      <c r="E30" s="20" t="s">
        <v>130</v>
      </c>
      <c r="F30" s="14">
        <f>IF($B30="","",IFERROR(INDEX('Base de Datos'!$C$6:$C$103,MATCH($B30,'Base de Datos'!$J$6:$J$103,0)),""))</f>
        <v>155.19399999999999</v>
      </c>
      <c r="G30" s="20">
        <v>1524</v>
      </c>
      <c r="H30" s="20">
        <v>3644.8998999999999</v>
      </c>
      <c r="I30" s="17" t="str">
        <f t="shared" si="0"/>
        <v>5-C17_C14 - Marco</v>
      </c>
      <c r="J30" s="20">
        <v>1</v>
      </c>
      <c r="K30" s="14">
        <f>IF($F30="","",($F30+'Base de Datos'!$B$2)/10)</f>
        <v>18.519399999999997</v>
      </c>
      <c r="L30" s="14">
        <f>IF($G30="","",($G30+'Base de Datos'!$B$2)/10)</f>
        <v>155.4</v>
      </c>
      <c r="M30" s="14">
        <f>IF($H30="","",($H30+'Base de Datos'!$B$2)/10)</f>
        <v>367.48998999999998</v>
      </c>
      <c r="N30" s="18"/>
      <c r="O30" s="19"/>
      <c r="P30" s="19"/>
      <c r="Q30" s="19"/>
    </row>
    <row r="31" spans="1:17" x14ac:dyDescent="0.25">
      <c r="A31" s="21" t="s">
        <v>126</v>
      </c>
      <c r="B31" s="12" t="s">
        <v>87</v>
      </c>
      <c r="C31" s="21" t="s">
        <v>57</v>
      </c>
      <c r="D31" s="13" t="str">
        <f>IF($B31="","",IFERROR(INDEX('Base de Datos'!$B$6:$B$103,MATCH($B31,'Base de Datos'!$J$6:$J$103,0)),"No encontrado"))</f>
        <v>Marco</v>
      </c>
      <c r="E31" s="21" t="s">
        <v>130</v>
      </c>
      <c r="F31" s="14">
        <f>IF($B31="","",IFERROR(INDEX('Base de Datos'!$C$6:$C$103,MATCH($B31,'Base de Datos'!$J$6:$J$103,0)),""))</f>
        <v>80.009999999999991</v>
      </c>
      <c r="G31" s="21">
        <v>736.6</v>
      </c>
      <c r="H31" s="21">
        <v>1498.6</v>
      </c>
      <c r="I31" s="17" t="str">
        <f t="shared" si="0"/>
        <v>61-A2 - Marco</v>
      </c>
      <c r="J31" s="21">
        <v>1</v>
      </c>
      <c r="K31" s="14">
        <f>IF($F31="","",($F31+'Base de Datos'!$B$2)/10)</f>
        <v>11.000999999999999</v>
      </c>
      <c r="L31" s="14">
        <f>IF($G31="","",($G31+'Base de Datos'!$B$2)/10)</f>
        <v>76.66</v>
      </c>
      <c r="M31" s="14">
        <f>IF($H31="","",($H31+'Base de Datos'!$B$2)/10)</f>
        <v>152.85999999999999</v>
      </c>
      <c r="N31" s="18"/>
      <c r="O31" s="19"/>
      <c r="P31" s="19"/>
      <c r="Q31" s="19"/>
    </row>
    <row r="32" spans="1:17" x14ac:dyDescent="0.25">
      <c r="A32" s="21" t="s">
        <v>128</v>
      </c>
      <c r="B32" s="12" t="s">
        <v>109</v>
      </c>
      <c r="C32" s="21" t="s">
        <v>31</v>
      </c>
      <c r="D32" s="13" t="str">
        <f>IF($B32="","",IFERROR(INDEX('Base de Datos'!$B$6:$B$103,MATCH($B32,'Base de Datos'!$J$6:$J$103,0)),"No encontrado"))</f>
        <v>Marco</v>
      </c>
      <c r="E32" s="21" t="s">
        <v>130</v>
      </c>
      <c r="F32" s="14">
        <f>IF($B32="","",IFERROR(INDEX('Base de Datos'!$C$6:$C$103,MATCH($B32,'Base de Datos'!$J$6:$J$103,0)),""))</f>
        <v>90.932000000000002</v>
      </c>
      <c r="G32" s="21">
        <v>965.2</v>
      </c>
      <c r="H32" s="21">
        <v>2438.3998999999999</v>
      </c>
      <c r="I32" s="17" t="str">
        <f t="shared" si="0"/>
        <v>13-003 - Marco</v>
      </c>
      <c r="J32" s="21">
        <v>1</v>
      </c>
      <c r="K32" s="14">
        <f>IF($F32="","",($F32+'Base de Datos'!$B$2)/10)</f>
        <v>12.0932</v>
      </c>
      <c r="L32" s="14">
        <f>IF($G32="","",($G32+'Base de Datos'!$B$2)/10)</f>
        <v>99.52000000000001</v>
      </c>
      <c r="M32" s="14">
        <f>IF($H32="","",($H32+'Base de Datos'!$B$2)/10)</f>
        <v>246.83999</v>
      </c>
      <c r="N32" s="18"/>
      <c r="O32" s="19"/>
      <c r="P32" s="19"/>
      <c r="Q32" s="19"/>
    </row>
    <row r="33" spans="1:17" x14ac:dyDescent="0.25">
      <c r="A33" s="20" t="s">
        <v>127</v>
      </c>
      <c r="B33" s="12" t="s">
        <v>94</v>
      </c>
      <c r="C33" s="20" t="s">
        <v>38</v>
      </c>
      <c r="D33" s="13" t="str">
        <f>IF($B33="","",IFERROR(INDEX('Base de Datos'!$B$6:$B$103,MATCH($B33,'Base de Datos'!$J$6:$J$103,0)),"No encontrado"))</f>
        <v>Marco</v>
      </c>
      <c r="E33" s="20" t="s">
        <v>130</v>
      </c>
      <c r="F33" s="14">
        <f>IF($B33="","",IFERROR(INDEX('Base de Datos'!$C$6:$C$103,MATCH($B33,'Base de Datos'!$J$6:$J$103,0)),""))</f>
        <v>155.19399999999999</v>
      </c>
      <c r="G33" s="20">
        <v>1080.5</v>
      </c>
      <c r="H33" s="20">
        <v>2438.3998999999999</v>
      </c>
      <c r="I33" s="17" t="str">
        <f t="shared" si="0"/>
        <v>56-C7 - Marco</v>
      </c>
      <c r="J33" s="20">
        <v>1</v>
      </c>
      <c r="K33" s="14">
        <f>IF($F33="","",($F33+'Base de Datos'!$B$2)/10)</f>
        <v>18.519399999999997</v>
      </c>
      <c r="L33" s="14">
        <f>IF($G33="","",($G33+'Base de Datos'!$B$2)/10)</f>
        <v>111.05</v>
      </c>
      <c r="M33" s="14">
        <f>IF($H33="","",($H33+'Base de Datos'!$B$2)/10)</f>
        <v>246.83999</v>
      </c>
      <c r="N33" s="18"/>
      <c r="O33" s="19"/>
      <c r="P33" s="19"/>
      <c r="Q33" s="19"/>
    </row>
    <row r="34" spans="1:17" x14ac:dyDescent="0.25">
      <c r="A34" s="21" t="s">
        <v>126</v>
      </c>
      <c r="B34" s="12" t="s">
        <v>87</v>
      </c>
      <c r="C34" s="21" t="s">
        <v>76</v>
      </c>
      <c r="D34" s="13" t="str">
        <f>IF($B34="","",IFERROR(INDEX('Base de Datos'!$B$6:$B$103,MATCH($B34,'Base de Datos'!$J$6:$J$103,0)),"No encontrado"))</f>
        <v>Marco</v>
      </c>
      <c r="E34" s="21" t="s">
        <v>130</v>
      </c>
      <c r="F34" s="14">
        <f>IF($B34="","",IFERROR(INDEX('Base de Datos'!$C$6:$C$103,MATCH($B34,'Base de Datos'!$J$6:$J$103,0)),""))</f>
        <v>80.009999999999991</v>
      </c>
      <c r="G34" s="21">
        <v>901.7</v>
      </c>
      <c r="H34" s="21">
        <v>609.6</v>
      </c>
      <c r="I34" s="17" t="str">
        <f t="shared" si="0"/>
        <v>16-C4 - Marco</v>
      </c>
      <c r="J34" s="21">
        <v>1</v>
      </c>
      <c r="K34" s="14">
        <f>IF($F34="","",($F34+'Base de Datos'!$B$2)/10)</f>
        <v>11.000999999999999</v>
      </c>
      <c r="L34" s="14">
        <f>IF($G34="","",($G34+'Base de Datos'!$B$2)/10)</f>
        <v>93.17</v>
      </c>
      <c r="M34" s="14">
        <f>IF($H34="","",($H34+'Base de Datos'!$B$2)/10)</f>
        <v>63.96</v>
      </c>
      <c r="N34" s="18"/>
      <c r="O34" s="19"/>
      <c r="P34" s="19"/>
      <c r="Q34" s="19"/>
    </row>
    <row r="35" spans="1:17" x14ac:dyDescent="0.25">
      <c r="A35" s="20" t="s">
        <v>125</v>
      </c>
      <c r="B35" s="12" t="s">
        <v>116</v>
      </c>
      <c r="C35" s="20" t="s">
        <v>20</v>
      </c>
      <c r="D35" s="13" t="str">
        <f>IF($B35="","",IFERROR(INDEX('Base de Datos'!$B$6:$B$103,MATCH($B35,'Base de Datos'!$J$6:$J$103,0)),"No encontrado"))</f>
        <v>Hoja Activa</v>
      </c>
      <c r="E35" s="20" t="s">
        <v>131</v>
      </c>
      <c r="F35" s="14">
        <f>IF($B35="","",IFERROR(INDEX('Base de Datos'!$C$6:$C$103,MATCH($B35,'Base de Datos'!$J$6:$J$103,0)),""))</f>
        <v>152.14599999999999</v>
      </c>
      <c r="G35" s="20">
        <v>915</v>
      </c>
      <c r="H35" s="20">
        <v>2410.0001000000002</v>
      </c>
      <c r="I35" s="17" t="str">
        <f t="shared" si="0"/>
        <v>52-014 - Hoja Activa</v>
      </c>
      <c r="J35" s="20">
        <v>1</v>
      </c>
      <c r="K35" s="14">
        <f>IF($F35="","",($F35+'Base de Datos'!$B$2)/10)</f>
        <v>18.214599999999997</v>
      </c>
      <c r="L35" s="14">
        <f>IF($G35="","",($G35+'Base de Datos'!$B$2)/10)</f>
        <v>94.5</v>
      </c>
      <c r="M35" s="14">
        <f>IF($H35="","",($H35+'Base de Datos'!$B$2)/10)</f>
        <v>244.00001000000003</v>
      </c>
      <c r="N35" s="18"/>
      <c r="O35" s="19"/>
      <c r="P35" s="19"/>
      <c r="Q35" s="19"/>
    </row>
    <row r="36" spans="1:17" x14ac:dyDescent="0.25">
      <c r="A36" s="21" t="s">
        <v>125</v>
      </c>
      <c r="B36" s="12" t="s">
        <v>115</v>
      </c>
      <c r="C36" s="21" t="s">
        <v>18</v>
      </c>
      <c r="D36" s="13" t="str">
        <f>IF($B36="","",IFERROR(INDEX('Base de Datos'!$B$6:$B$103,MATCH($B36,'Base de Datos'!$J$6:$J$103,0)),"No encontrado"))</f>
        <v>Hoja que recibe</v>
      </c>
      <c r="E36" s="21" t="s">
        <v>131</v>
      </c>
      <c r="F36" s="14">
        <f>IF($B36="","",IFERROR(INDEX('Base de Datos'!$C$6:$C$103,MATCH($B36,'Base de Datos'!$J$6:$J$103,0)),""))</f>
        <v>94.995999999999995</v>
      </c>
      <c r="G36" s="21">
        <v>1230.55</v>
      </c>
      <c r="H36" s="21">
        <v>3021.15</v>
      </c>
      <c r="I36" s="17" t="str">
        <f t="shared" si="0"/>
        <v>20-008 - Hoja que recibe</v>
      </c>
      <c r="J36" s="21">
        <v>1</v>
      </c>
      <c r="K36" s="14">
        <f>IF($F36="","",($F36+'Base de Datos'!$B$2)/10)</f>
        <v>12.499599999999999</v>
      </c>
      <c r="L36" s="14">
        <f>IF($G36="","",($G36+'Base de Datos'!$B$2)/10)</f>
        <v>126.05499999999999</v>
      </c>
      <c r="M36" s="14">
        <f>IF($H36="","",($H36+'Base de Datos'!$B$2)/10)</f>
        <v>305.11500000000001</v>
      </c>
      <c r="N36" s="18"/>
      <c r="O36" s="19"/>
      <c r="P36" s="19"/>
      <c r="Q36" s="19"/>
    </row>
    <row r="37" spans="1:17" x14ac:dyDescent="0.25">
      <c r="A37" s="20" t="s">
        <v>127</v>
      </c>
      <c r="B37" s="12" t="s">
        <v>94</v>
      </c>
      <c r="C37" s="20" t="s">
        <v>37</v>
      </c>
      <c r="D37" s="13" t="str">
        <f>IF($B37="","",IFERROR(INDEX('Base de Datos'!$B$6:$B$103,MATCH($B37,'Base de Datos'!$J$6:$J$103,0)),"No encontrado"))</f>
        <v>Marco</v>
      </c>
      <c r="E37" s="20" t="s">
        <v>130</v>
      </c>
      <c r="F37" s="14">
        <f>IF($B37="","",IFERROR(INDEX('Base de Datos'!$C$6:$C$103,MATCH($B37,'Base de Datos'!$J$6:$J$103,0)),""))</f>
        <v>155.19399999999999</v>
      </c>
      <c r="G37" s="20">
        <v>1337.8371999999999</v>
      </c>
      <c r="H37" s="20">
        <v>2438.3998999999999</v>
      </c>
      <c r="I37" s="17" t="str">
        <f t="shared" si="0"/>
        <v>55-C10 - Marco</v>
      </c>
      <c r="J37" s="20">
        <v>1</v>
      </c>
      <c r="K37" s="14">
        <f>IF($F37="","",($F37+'Base de Datos'!$B$2)/10)</f>
        <v>18.519399999999997</v>
      </c>
      <c r="L37" s="14">
        <f>IF($G37="","",($G37+'Base de Datos'!$B$2)/10)</f>
        <v>136.78371999999999</v>
      </c>
      <c r="M37" s="14">
        <f>IF($H37="","",($H37+'Base de Datos'!$B$2)/10)</f>
        <v>246.83999</v>
      </c>
      <c r="N37" s="18"/>
      <c r="O37" s="19"/>
      <c r="P37" s="19"/>
      <c r="Q37" s="19"/>
    </row>
    <row r="38" spans="1:17" x14ac:dyDescent="0.25">
      <c r="A38" s="21" t="s">
        <v>126</v>
      </c>
      <c r="B38" s="12" t="s">
        <v>87</v>
      </c>
      <c r="C38" s="21" t="s">
        <v>72</v>
      </c>
      <c r="D38" s="13" t="str">
        <f>IF($B38="","",IFERROR(INDEX('Base de Datos'!$B$6:$B$103,MATCH($B38,'Base de Datos'!$J$6:$J$103,0)),"No encontrado"))</f>
        <v>Marco</v>
      </c>
      <c r="E38" s="21" t="s">
        <v>130</v>
      </c>
      <c r="F38" s="14">
        <f>IF($B38="","",IFERROR(INDEX('Base de Datos'!$C$6:$C$103,MATCH($B38,'Base de Datos'!$J$6:$J$103,0)),""))</f>
        <v>80.009999999999991</v>
      </c>
      <c r="G38" s="21">
        <v>736.6</v>
      </c>
      <c r="H38" s="21">
        <v>1498.6</v>
      </c>
      <c r="I38" s="17" t="str">
        <f t="shared" si="0"/>
        <v>64-B1 - Marco</v>
      </c>
      <c r="J38" s="21">
        <v>1</v>
      </c>
      <c r="K38" s="14">
        <f>IF($F38="","",($F38+'Base de Datos'!$B$2)/10)</f>
        <v>11.000999999999999</v>
      </c>
      <c r="L38" s="14">
        <f>IF($G38="","",($G38+'Base de Datos'!$B$2)/10)</f>
        <v>76.66</v>
      </c>
      <c r="M38" s="14">
        <f>IF($H38="","",($H38+'Base de Datos'!$B$2)/10)</f>
        <v>152.85999999999999</v>
      </c>
      <c r="N38" s="18"/>
      <c r="O38" s="19"/>
      <c r="P38" s="19"/>
      <c r="Q38" s="19"/>
    </row>
    <row r="39" spans="1:17" x14ac:dyDescent="0.25">
      <c r="A39" s="20" t="s">
        <v>125</v>
      </c>
      <c r="B39" s="12" t="s">
        <v>116</v>
      </c>
      <c r="C39" s="20" t="s">
        <v>21</v>
      </c>
      <c r="D39" s="13" t="str">
        <f>IF($B39="","",IFERROR(INDEX('Base de Datos'!$B$6:$B$103,MATCH($B39,'Base de Datos'!$J$6:$J$103,0)),"No encontrado"))</f>
        <v>Hoja Activa</v>
      </c>
      <c r="E39" s="20" t="s">
        <v>131</v>
      </c>
      <c r="F39" s="14">
        <f>IF($B39="","",IFERROR(INDEX('Base de Datos'!$C$6:$C$103,MATCH($B39,'Base de Datos'!$J$6:$J$103,0)),""))</f>
        <v>152.14599999999999</v>
      </c>
      <c r="G39" s="20">
        <v>915</v>
      </c>
      <c r="H39" s="20">
        <v>3025.95</v>
      </c>
      <c r="I39" s="17" t="str">
        <f t="shared" si="0"/>
        <v>22-009 - Hoja Activa</v>
      </c>
      <c r="J39" s="20">
        <v>1</v>
      </c>
      <c r="K39" s="14">
        <f>IF($F39="","",($F39+'Base de Datos'!$B$2)/10)</f>
        <v>18.214599999999997</v>
      </c>
      <c r="L39" s="14">
        <f>IF($G39="","",($G39+'Base de Datos'!$B$2)/10)</f>
        <v>94.5</v>
      </c>
      <c r="M39" s="14">
        <f>IF($H39="","",($H39+'Base de Datos'!$B$2)/10)</f>
        <v>305.59499999999997</v>
      </c>
      <c r="N39" s="18"/>
      <c r="O39" s="19"/>
      <c r="P39" s="19"/>
      <c r="Q39" s="19"/>
    </row>
    <row r="40" spans="1:17" x14ac:dyDescent="0.25">
      <c r="A40" s="21" t="s">
        <v>127</v>
      </c>
      <c r="B40" s="12" t="s">
        <v>94</v>
      </c>
      <c r="C40" s="21" t="s">
        <v>37</v>
      </c>
      <c r="D40" s="13" t="str">
        <f>IF($B40="","",IFERROR(INDEX('Base de Datos'!$B$6:$B$103,MATCH($B40,'Base de Datos'!$J$6:$J$103,0)),"No encontrado"))</f>
        <v>Marco</v>
      </c>
      <c r="E40" s="21" t="s">
        <v>130</v>
      </c>
      <c r="F40" s="14">
        <f>IF($B40="","",IFERROR(INDEX('Base de Datos'!$C$6:$C$103,MATCH($B40,'Base de Datos'!$J$6:$J$103,0)),""))</f>
        <v>155.19399999999999</v>
      </c>
      <c r="G40" s="21">
        <v>1443.3009999999999</v>
      </c>
      <c r="H40" s="21">
        <v>2438.3998999999999</v>
      </c>
      <c r="I40" s="17" t="str">
        <f t="shared" si="0"/>
        <v>55-C10 - Marco</v>
      </c>
      <c r="J40" s="21">
        <v>1</v>
      </c>
      <c r="K40" s="14">
        <f>IF($F40="","",($F40+'Base de Datos'!$B$2)/10)</f>
        <v>18.519399999999997</v>
      </c>
      <c r="L40" s="14">
        <f>IF($G40="","",($G40+'Base de Datos'!$B$2)/10)</f>
        <v>147.33009999999999</v>
      </c>
      <c r="M40" s="14">
        <f>IF($H40="","",($H40+'Base de Datos'!$B$2)/10)</f>
        <v>246.83999</v>
      </c>
      <c r="N40" s="18"/>
      <c r="O40" s="19"/>
      <c r="P40" s="19"/>
      <c r="Q40" s="19"/>
    </row>
    <row r="41" spans="1:17" x14ac:dyDescent="0.25">
      <c r="A41" s="20" t="s">
        <v>127</v>
      </c>
      <c r="B41" s="12" t="s">
        <v>94</v>
      </c>
      <c r="C41" s="20" t="s">
        <v>40</v>
      </c>
      <c r="D41" s="13" t="str">
        <f>IF($B41="","",IFERROR(INDEX('Base de Datos'!$B$6:$B$103,MATCH($B41,'Base de Datos'!$J$6:$J$103,0)),"No encontrado"))</f>
        <v>Marco</v>
      </c>
      <c r="E41" s="20" t="s">
        <v>130</v>
      </c>
      <c r="F41" s="14">
        <f>IF($B41="","",IFERROR(INDEX('Base de Datos'!$C$6:$C$103,MATCH($B41,'Base de Datos'!$J$6:$J$103,0)),""))</f>
        <v>155.19399999999999</v>
      </c>
      <c r="G41" s="20">
        <v>1222.4000000000001</v>
      </c>
      <c r="H41" s="20">
        <v>3035.3</v>
      </c>
      <c r="I41" s="17" t="str">
        <f t="shared" si="0"/>
        <v>23-C9 - Marco</v>
      </c>
      <c r="J41" s="20">
        <v>1</v>
      </c>
      <c r="K41" s="14">
        <f>IF($F41="","",($F41+'Base de Datos'!$B$2)/10)</f>
        <v>18.519399999999997</v>
      </c>
      <c r="L41" s="14">
        <f>IF($G41="","",($G41+'Base de Datos'!$B$2)/10)</f>
        <v>125.24000000000001</v>
      </c>
      <c r="M41" s="14">
        <f>IF($H41="","",($H41+'Base de Datos'!$B$2)/10)</f>
        <v>306.53000000000003</v>
      </c>
      <c r="N41" s="18"/>
      <c r="O41" s="19"/>
      <c r="P41" s="19"/>
      <c r="Q41" s="19"/>
    </row>
    <row r="42" spans="1:17" x14ac:dyDescent="0.25">
      <c r="A42" s="21" t="s">
        <v>125</v>
      </c>
      <c r="B42" s="12" t="s">
        <v>116</v>
      </c>
      <c r="C42" s="21" t="s">
        <v>19</v>
      </c>
      <c r="D42" s="13" t="str">
        <f>IF($B42="","",IFERROR(INDEX('Base de Datos'!$B$6:$B$103,MATCH($B42,'Base de Datos'!$J$6:$J$103,0)),"No encontrado"))</f>
        <v>Hoja Activa</v>
      </c>
      <c r="E42" s="21" t="s">
        <v>131</v>
      </c>
      <c r="F42" s="14">
        <f>IF($B42="","",IFERROR(INDEX('Base de Datos'!$C$6:$C$103,MATCH($B42,'Base de Datos'!$J$6:$J$103,0)),""))</f>
        <v>152.14599999999999</v>
      </c>
      <c r="G42" s="21">
        <v>1211.9000000000001</v>
      </c>
      <c r="H42" s="21">
        <v>2410.0001000000002</v>
      </c>
      <c r="I42" s="17" t="str">
        <f t="shared" si="0"/>
        <v>57-013 - Hoja Activa</v>
      </c>
      <c r="J42" s="21">
        <v>1</v>
      </c>
      <c r="K42" s="14">
        <f>IF($F42="","",($F42+'Base de Datos'!$B$2)/10)</f>
        <v>18.214599999999997</v>
      </c>
      <c r="L42" s="14">
        <f>IF($G42="","",($G42+'Base de Datos'!$B$2)/10)</f>
        <v>124.19000000000001</v>
      </c>
      <c r="M42" s="14">
        <f>IF($H42="","",($H42+'Base de Datos'!$B$2)/10)</f>
        <v>244.00001000000003</v>
      </c>
      <c r="N42" s="18"/>
      <c r="O42" s="19"/>
      <c r="P42" s="19"/>
      <c r="Q42" s="19"/>
    </row>
    <row r="43" spans="1:17" x14ac:dyDescent="0.25">
      <c r="A43" s="20" t="s">
        <v>126</v>
      </c>
      <c r="B43" s="12" t="s">
        <v>87</v>
      </c>
      <c r="C43" s="20" t="s">
        <v>82</v>
      </c>
      <c r="D43" s="13" t="str">
        <f>IF($B43="","",IFERROR(INDEX('Base de Datos'!$B$6:$B$103,MATCH($B43,'Base de Datos'!$J$6:$J$103,0)),"No encontrado"))</f>
        <v>Marco</v>
      </c>
      <c r="E43" s="20" t="s">
        <v>130</v>
      </c>
      <c r="F43" s="14">
        <f>IF($B43="","",IFERROR(INDEX('Base de Datos'!$C$6:$C$103,MATCH($B43,'Base de Datos'!$J$6:$J$103,0)),""))</f>
        <v>80.009999999999991</v>
      </c>
      <c r="G43" s="20">
        <v>736.6</v>
      </c>
      <c r="H43" s="20">
        <v>1498.6</v>
      </c>
      <c r="I43" s="17" t="str">
        <f t="shared" si="0"/>
        <v>60-A2 - Marco</v>
      </c>
      <c r="J43" s="20">
        <v>1</v>
      </c>
      <c r="K43" s="14">
        <f>IF($F43="","",($F43+'Base de Datos'!$B$2)/10)</f>
        <v>11.000999999999999</v>
      </c>
      <c r="L43" s="14">
        <f>IF($G43="","",($G43+'Base de Datos'!$B$2)/10)</f>
        <v>76.66</v>
      </c>
      <c r="M43" s="14">
        <f>IF($H43="","",($H43+'Base de Datos'!$B$2)/10)</f>
        <v>152.85999999999999</v>
      </c>
      <c r="N43" s="18"/>
      <c r="O43" s="19"/>
      <c r="P43" s="19"/>
      <c r="Q43" s="19"/>
    </row>
    <row r="44" spans="1:17" x14ac:dyDescent="0.25">
      <c r="A44" s="21" t="s">
        <v>127</v>
      </c>
      <c r="B44" s="12" t="s">
        <v>94</v>
      </c>
      <c r="C44" s="21" t="s">
        <v>44</v>
      </c>
      <c r="D44" s="13" t="str">
        <f>IF($B44="","",IFERROR(INDEX('Base de Datos'!$B$6:$B$103,MATCH($B44,'Base de Datos'!$J$6:$J$103,0)),"No encontrado"))</f>
        <v>Marco</v>
      </c>
      <c r="E44" s="21" t="s">
        <v>130</v>
      </c>
      <c r="F44" s="14">
        <f>IF($B44="","",IFERROR(INDEX('Base de Datos'!$C$6:$C$103,MATCH($B44,'Base de Datos'!$J$6:$J$103,0)),""))</f>
        <v>155.19399999999999</v>
      </c>
      <c r="G44" s="21">
        <v>1527.2</v>
      </c>
      <c r="H44" s="21">
        <v>2438.3998999999999</v>
      </c>
      <c r="I44" s="17" t="str">
        <f t="shared" si="0"/>
        <v>44-C17_2 - Marco</v>
      </c>
      <c r="J44" s="21">
        <v>1</v>
      </c>
      <c r="K44" s="14">
        <f>IF($F44="","",($F44+'Base de Datos'!$B$2)/10)</f>
        <v>18.519399999999997</v>
      </c>
      <c r="L44" s="14">
        <f>IF($G44="","",($G44+'Base de Datos'!$B$2)/10)</f>
        <v>155.72</v>
      </c>
      <c r="M44" s="14">
        <f>IF($H44="","",($H44+'Base de Datos'!$B$2)/10)</f>
        <v>246.83999</v>
      </c>
      <c r="N44" s="18"/>
      <c r="O44" s="19"/>
      <c r="P44" s="19"/>
      <c r="Q44" s="19"/>
    </row>
    <row r="45" spans="1:17" x14ac:dyDescent="0.25">
      <c r="A45" s="20" t="s">
        <v>126</v>
      </c>
      <c r="B45" s="12" t="s">
        <v>87</v>
      </c>
      <c r="C45" s="20" t="s">
        <v>81</v>
      </c>
      <c r="D45" s="13" t="str">
        <f>IF($B45="","",IFERROR(INDEX('Base de Datos'!$B$6:$B$103,MATCH($B45,'Base de Datos'!$J$6:$J$103,0)),"No encontrado"))</f>
        <v>Marco</v>
      </c>
      <c r="E45" s="20" t="s">
        <v>130</v>
      </c>
      <c r="F45" s="14">
        <f>IF($B45="","",IFERROR(INDEX('Base de Datos'!$C$6:$C$103,MATCH($B45,'Base de Datos'!$J$6:$J$103,0)),""))</f>
        <v>80.009999999999991</v>
      </c>
      <c r="G45" s="20">
        <v>1524</v>
      </c>
      <c r="H45" s="20">
        <v>2413</v>
      </c>
      <c r="I45" s="17" t="str">
        <f t="shared" si="0"/>
        <v>41-C17 - Marco</v>
      </c>
      <c r="J45" s="20">
        <v>1</v>
      </c>
      <c r="K45" s="14">
        <f>IF($F45="","",($F45+'Base de Datos'!$B$2)/10)</f>
        <v>11.000999999999999</v>
      </c>
      <c r="L45" s="14">
        <f>IF($G45="","",($G45+'Base de Datos'!$B$2)/10)</f>
        <v>155.4</v>
      </c>
      <c r="M45" s="14">
        <f>IF($H45="","",($H45+'Base de Datos'!$B$2)/10)</f>
        <v>244.3</v>
      </c>
      <c r="N45" s="18"/>
      <c r="O45" s="19"/>
      <c r="P45" s="19"/>
      <c r="Q45" s="19"/>
    </row>
    <row r="46" spans="1:17" x14ac:dyDescent="0.25">
      <c r="A46" s="21" t="s">
        <v>129</v>
      </c>
      <c r="B46" s="12" t="s">
        <v>91</v>
      </c>
      <c r="C46" s="21" t="s">
        <v>25</v>
      </c>
      <c r="D46" s="13" t="str">
        <f>IF($B46="","",IFERROR(INDEX('Base de Datos'!$B$6:$B$103,MATCH($B46,'Base de Datos'!$J$6:$J$103,0)),"No encontrado"))</f>
        <v>Marco</v>
      </c>
      <c r="E46" s="21" t="s">
        <v>130</v>
      </c>
      <c r="F46" s="14">
        <f>IF($B46="","",IFERROR(INDEX('Base de Datos'!$C$6:$C$103,MATCH($B46,'Base de Datos'!$J$6:$J$103,0)),""))</f>
        <v>150.36799999999999</v>
      </c>
      <c r="G46" s="21">
        <v>729.3</v>
      </c>
      <c r="H46" s="21">
        <v>1524</v>
      </c>
      <c r="I46" s="17" t="str">
        <f t="shared" si="0"/>
        <v>63-B1 - Marco</v>
      </c>
      <c r="J46" s="21">
        <v>1</v>
      </c>
      <c r="K46" s="14">
        <f>IF($F46="","",($F46+'Base de Datos'!$B$2)/10)</f>
        <v>18.036799999999999</v>
      </c>
      <c r="L46" s="14">
        <f>IF($G46="","",($G46+'Base de Datos'!$B$2)/10)</f>
        <v>75.929999999999993</v>
      </c>
      <c r="M46" s="14">
        <f>IF($H46="","",($H46+'Base de Datos'!$B$2)/10)</f>
        <v>155.4</v>
      </c>
      <c r="N46" s="18"/>
      <c r="O46" s="19"/>
      <c r="P46" s="19"/>
      <c r="Q46" s="19"/>
    </row>
    <row r="47" spans="1:17" x14ac:dyDescent="0.25">
      <c r="A47" s="20" t="s">
        <v>126</v>
      </c>
      <c r="B47" s="12" t="s">
        <v>87</v>
      </c>
      <c r="C47" s="20" t="s">
        <v>66</v>
      </c>
      <c r="D47" s="13" t="str">
        <f>IF($B47="","",IFERROR(INDEX('Base de Datos'!$B$6:$B$103,MATCH($B47,'Base de Datos'!$J$6:$J$103,0)),"No encontrado"))</f>
        <v>Marco</v>
      </c>
      <c r="E47" s="20" t="s">
        <v>130</v>
      </c>
      <c r="F47" s="14">
        <f>IF($B47="","",IFERROR(INDEX('Base de Datos'!$C$6:$C$103,MATCH($B47,'Base de Datos'!$J$6:$J$103,0)),""))</f>
        <v>80.009999999999991</v>
      </c>
      <c r="G47" s="20">
        <v>736.6</v>
      </c>
      <c r="H47" s="20">
        <v>1193.8</v>
      </c>
      <c r="I47" s="17" t="str">
        <f t="shared" si="0"/>
        <v>46 -A1 - Marco</v>
      </c>
      <c r="J47" s="20">
        <v>1</v>
      </c>
      <c r="K47" s="14">
        <f>IF($F47="","",($F47+'Base de Datos'!$B$2)/10)</f>
        <v>11.000999999999999</v>
      </c>
      <c r="L47" s="14">
        <f>IF($G47="","",($G47+'Base de Datos'!$B$2)/10)</f>
        <v>76.66</v>
      </c>
      <c r="M47" s="14">
        <f>IF($H47="","",($H47+'Base de Datos'!$B$2)/10)</f>
        <v>122.38</v>
      </c>
      <c r="N47" s="18"/>
      <c r="O47" s="19"/>
      <c r="P47" s="19"/>
      <c r="Q47" s="19"/>
    </row>
    <row r="48" spans="1:17" x14ac:dyDescent="0.25">
      <c r="A48" s="21" t="s">
        <v>127</v>
      </c>
      <c r="B48" s="12" t="s">
        <v>94</v>
      </c>
      <c r="C48" s="21" t="s">
        <v>47</v>
      </c>
      <c r="D48" s="13" t="str">
        <f>IF($B48="","",IFERROR(INDEX('Base de Datos'!$B$6:$B$103,MATCH($B48,'Base de Datos'!$J$6:$J$103,0)),"No encontrado"))</f>
        <v>Marco</v>
      </c>
      <c r="E48" s="21" t="s">
        <v>130</v>
      </c>
      <c r="F48" s="14">
        <f>IF($B48="","",IFERROR(INDEX('Base de Datos'!$C$6:$C$103,MATCH($B48,'Base de Datos'!$J$6:$J$103,0)),""))</f>
        <v>155.19399999999999</v>
      </c>
      <c r="G48" s="21">
        <v>1524</v>
      </c>
      <c r="H48" s="21">
        <v>3644.8998999999999</v>
      </c>
      <c r="I48" s="17" t="str">
        <f t="shared" si="0"/>
        <v>3-C17_C14 - Marco</v>
      </c>
      <c r="J48" s="21">
        <v>1</v>
      </c>
      <c r="K48" s="14">
        <f>IF($F48="","",($F48+'Base de Datos'!$B$2)/10)</f>
        <v>18.519399999999997</v>
      </c>
      <c r="L48" s="14">
        <f>IF($G48="","",($G48+'Base de Datos'!$B$2)/10)</f>
        <v>155.4</v>
      </c>
      <c r="M48" s="14">
        <f>IF($H48="","",($H48+'Base de Datos'!$B$2)/10)</f>
        <v>367.48998999999998</v>
      </c>
      <c r="N48" s="18"/>
      <c r="O48" s="19"/>
      <c r="P48" s="19"/>
      <c r="Q48" s="19"/>
    </row>
    <row r="49" spans="1:17" x14ac:dyDescent="0.25">
      <c r="A49" s="21" t="s">
        <v>125</v>
      </c>
      <c r="B49" s="12" t="s">
        <v>116</v>
      </c>
      <c r="C49" s="21" t="s">
        <v>21</v>
      </c>
      <c r="D49" s="13" t="str">
        <f>IF($B49="","",IFERROR(INDEX('Base de Datos'!$B$6:$B$103,MATCH($B49,'Base de Datos'!$J$6:$J$103,0)),"No encontrado"))</f>
        <v>Hoja Activa</v>
      </c>
      <c r="E49" s="21" t="s">
        <v>131</v>
      </c>
      <c r="F49" s="14">
        <f>IF($B49="","",IFERROR(INDEX('Base de Datos'!$C$6:$C$103,MATCH($B49,'Base de Datos'!$J$6:$J$103,0)),""))</f>
        <v>152.14599999999999</v>
      </c>
      <c r="G49" s="21">
        <v>915</v>
      </c>
      <c r="H49" s="21">
        <v>3025.95</v>
      </c>
      <c r="I49" s="17" t="str">
        <f t="shared" si="0"/>
        <v>22-009 - Hoja Activa</v>
      </c>
      <c r="J49" s="21">
        <v>1</v>
      </c>
      <c r="K49" s="14">
        <f>IF($F49="","",($F49+'Base de Datos'!$B$2)/10)</f>
        <v>18.214599999999997</v>
      </c>
      <c r="L49" s="14">
        <f>IF($G49="","",($G49+'Base de Datos'!$B$2)/10)</f>
        <v>94.5</v>
      </c>
      <c r="M49" s="14">
        <f>IF($H49="","",($H49+'Base de Datos'!$B$2)/10)</f>
        <v>305.59499999999997</v>
      </c>
      <c r="N49" s="18"/>
      <c r="O49" s="19"/>
      <c r="P49" s="19"/>
      <c r="Q49" s="19"/>
    </row>
    <row r="50" spans="1:17" x14ac:dyDescent="0.25">
      <c r="A50" s="20" t="s">
        <v>127</v>
      </c>
      <c r="B50" s="12" t="s">
        <v>94</v>
      </c>
      <c r="C50" s="20" t="s">
        <v>51</v>
      </c>
      <c r="D50" s="13" t="str">
        <f>IF($B50="","",IFERROR(INDEX('Base de Datos'!$B$6:$B$103,MATCH($B50,'Base de Datos'!$J$6:$J$103,0)),"No encontrado"))</f>
        <v>Marco</v>
      </c>
      <c r="E50" s="20" t="s">
        <v>130</v>
      </c>
      <c r="F50" s="14">
        <f>IF($B50="","",IFERROR(INDEX('Base de Datos'!$C$6:$C$103,MATCH($B50,'Base de Datos'!$J$6:$J$103,0)),""))</f>
        <v>155.19399999999999</v>
      </c>
      <c r="G50" s="20">
        <v>1481.9122</v>
      </c>
      <c r="H50" s="20">
        <v>3035.3</v>
      </c>
      <c r="I50" s="17" t="str">
        <f t="shared" si="0"/>
        <v>14-S - Marco</v>
      </c>
      <c r="J50" s="20">
        <v>1</v>
      </c>
      <c r="K50" s="14">
        <f>IF($F50="","",($F50+'Base de Datos'!$B$2)/10)</f>
        <v>18.519399999999997</v>
      </c>
      <c r="L50" s="14">
        <f>IF($G50="","",($G50+'Base de Datos'!$B$2)/10)</f>
        <v>151.19121999999999</v>
      </c>
      <c r="M50" s="14">
        <f>IF($H50="","",($H50+'Base de Datos'!$B$2)/10)</f>
        <v>306.53000000000003</v>
      </c>
      <c r="N50" s="18"/>
      <c r="O50" s="19"/>
      <c r="P50" s="19"/>
      <c r="Q50" s="19"/>
    </row>
    <row r="51" spans="1:17" x14ac:dyDescent="0.25">
      <c r="A51" s="21" t="s">
        <v>126</v>
      </c>
      <c r="B51" s="12" t="s">
        <v>87</v>
      </c>
      <c r="C51" s="21" t="s">
        <v>70</v>
      </c>
      <c r="D51" s="13" t="str">
        <f>IF($B51="","",IFERROR(INDEX('Base de Datos'!$B$6:$B$103,MATCH($B51,'Base de Datos'!$J$6:$J$103,0)),"No encontrado"))</f>
        <v>Marco</v>
      </c>
      <c r="E51" s="21" t="s">
        <v>130</v>
      </c>
      <c r="F51" s="14">
        <f>IF($B51="","",IFERROR(INDEX('Base de Datos'!$C$6:$C$103,MATCH($B51,'Base de Datos'!$J$6:$J$103,0)),""))</f>
        <v>80.009999999999991</v>
      </c>
      <c r="G51" s="21">
        <v>736.6</v>
      </c>
      <c r="H51" s="21">
        <v>1498.6</v>
      </c>
      <c r="I51" s="17" t="str">
        <f t="shared" si="0"/>
        <v>1-B1 - Marco</v>
      </c>
      <c r="J51" s="21">
        <v>1</v>
      </c>
      <c r="K51" s="14">
        <f>IF($F51="","",($F51+'Base de Datos'!$B$2)/10)</f>
        <v>11.000999999999999</v>
      </c>
      <c r="L51" s="14">
        <f>IF($G51="","",($G51+'Base de Datos'!$B$2)/10)</f>
        <v>76.66</v>
      </c>
      <c r="M51" s="14">
        <f>IF($H51="","",($H51+'Base de Datos'!$B$2)/10)</f>
        <v>152.85999999999999</v>
      </c>
      <c r="N51" s="18"/>
      <c r="O51" s="19"/>
      <c r="P51" s="19"/>
      <c r="Q51" s="19"/>
    </row>
    <row r="52" spans="1:17" x14ac:dyDescent="0.25">
      <c r="A52" s="20" t="s">
        <v>126</v>
      </c>
      <c r="B52" s="12" t="s">
        <v>87</v>
      </c>
      <c r="C52" s="20" t="s">
        <v>53</v>
      </c>
      <c r="D52" s="13" t="str">
        <f>IF($B52="","",IFERROR(INDEX('Base de Datos'!$B$6:$B$103,MATCH($B52,'Base de Datos'!$J$6:$J$103,0)),"No encontrado"))</f>
        <v>Marco</v>
      </c>
      <c r="E52" s="20" t="s">
        <v>130</v>
      </c>
      <c r="F52" s="14">
        <f>IF($B52="","",IFERROR(INDEX('Base de Datos'!$C$6:$C$103,MATCH($B52,'Base de Datos'!$J$6:$J$103,0)),""))</f>
        <v>80.009999999999991</v>
      </c>
      <c r="G52" s="20">
        <v>736.6</v>
      </c>
      <c r="H52" s="20">
        <v>2413</v>
      </c>
      <c r="I52" s="17" t="str">
        <f t="shared" si="0"/>
        <v>30-C1_A3 - Marco</v>
      </c>
      <c r="J52" s="20">
        <v>1</v>
      </c>
      <c r="K52" s="14">
        <f>IF($F52="","",($F52+'Base de Datos'!$B$2)/10)</f>
        <v>11.000999999999999</v>
      </c>
      <c r="L52" s="14">
        <f>IF($G52="","",($G52+'Base de Datos'!$B$2)/10)</f>
        <v>76.66</v>
      </c>
      <c r="M52" s="14">
        <f>IF($H52="","",($H52+'Base de Datos'!$B$2)/10)</f>
        <v>244.3</v>
      </c>
      <c r="N52" s="18"/>
      <c r="O52" s="19"/>
      <c r="P52" s="19"/>
      <c r="Q52" s="19"/>
    </row>
    <row r="53" spans="1:17" x14ac:dyDescent="0.25">
      <c r="A53" s="21" t="s">
        <v>125</v>
      </c>
      <c r="B53" s="12" t="s">
        <v>116</v>
      </c>
      <c r="C53" s="21" t="s">
        <v>20</v>
      </c>
      <c r="D53" s="13" t="str">
        <f>IF($B53="","",IFERROR(INDEX('Base de Datos'!$B$6:$B$103,MATCH($B53,'Base de Datos'!$J$6:$J$103,0)),"No encontrado"))</f>
        <v>Hoja Activa</v>
      </c>
      <c r="E53" s="21" t="s">
        <v>131</v>
      </c>
      <c r="F53" s="14">
        <f>IF($B53="","",IFERROR(INDEX('Base de Datos'!$C$6:$C$103,MATCH($B53,'Base de Datos'!$J$6:$J$103,0)),""))</f>
        <v>152.14599999999999</v>
      </c>
      <c r="G53" s="21">
        <v>915</v>
      </c>
      <c r="H53" s="21">
        <v>2410.0001000000002</v>
      </c>
      <c r="I53" s="17" t="str">
        <f t="shared" si="0"/>
        <v>52-014 - Hoja Activa</v>
      </c>
      <c r="J53" s="21">
        <v>1</v>
      </c>
      <c r="K53" s="14">
        <f>IF($F53="","",($F53+'Base de Datos'!$B$2)/10)</f>
        <v>18.214599999999997</v>
      </c>
      <c r="L53" s="14">
        <f>IF($G53="","",($G53+'Base de Datos'!$B$2)/10)</f>
        <v>94.5</v>
      </c>
      <c r="M53" s="14">
        <f>IF($H53="","",($H53+'Base de Datos'!$B$2)/10)</f>
        <v>244.00001000000003</v>
      </c>
      <c r="N53" s="18"/>
      <c r="O53" s="19"/>
      <c r="P53" s="19"/>
      <c r="Q53" s="19"/>
    </row>
    <row r="54" spans="1:17" x14ac:dyDescent="0.25">
      <c r="A54" s="21" t="s">
        <v>126</v>
      </c>
      <c r="B54" s="12" t="s">
        <v>87</v>
      </c>
      <c r="C54" s="21" t="s">
        <v>64</v>
      </c>
      <c r="D54" s="13" t="str">
        <f>IF($B54="","",IFERROR(INDEX('Base de Datos'!$B$6:$B$103,MATCH($B54,'Base de Datos'!$J$6:$J$103,0)),"No encontrado"))</f>
        <v>Marco</v>
      </c>
      <c r="E54" s="21" t="s">
        <v>130</v>
      </c>
      <c r="F54" s="14">
        <f>IF($B54="","",IFERROR(INDEX('Base de Datos'!$C$6:$C$103,MATCH($B54,'Base de Datos'!$J$6:$J$103,0)),""))</f>
        <v>80.009999999999991</v>
      </c>
      <c r="G54" s="21">
        <v>736.6</v>
      </c>
      <c r="H54" s="21">
        <v>1498.6</v>
      </c>
      <c r="I54" s="17" t="str">
        <f t="shared" si="0"/>
        <v>49-A2 - Marco</v>
      </c>
      <c r="J54" s="21">
        <v>1</v>
      </c>
      <c r="K54" s="14">
        <f>IF($F54="","",($F54+'Base de Datos'!$B$2)/10)</f>
        <v>11.000999999999999</v>
      </c>
      <c r="L54" s="14">
        <f>IF($G54="","",($G54+'Base de Datos'!$B$2)/10)</f>
        <v>76.66</v>
      </c>
      <c r="M54" s="14">
        <f>IF($H54="","",($H54+'Base de Datos'!$B$2)/10)</f>
        <v>152.85999999999999</v>
      </c>
      <c r="N54" s="18"/>
      <c r="O54" s="19"/>
      <c r="P54" s="19"/>
      <c r="Q54" s="19"/>
    </row>
    <row r="55" spans="1:17" x14ac:dyDescent="0.25">
      <c r="A55" s="21" t="s">
        <v>126</v>
      </c>
      <c r="B55" s="12" t="s">
        <v>87</v>
      </c>
      <c r="C55" s="21" t="s">
        <v>56</v>
      </c>
      <c r="D55" s="13" t="str">
        <f>IF($B55="","",IFERROR(INDEX('Base de Datos'!$B$6:$B$103,MATCH($B55,'Base de Datos'!$J$6:$J$103,0)),"No encontrado"))</f>
        <v>Marco</v>
      </c>
      <c r="E55" s="21" t="s">
        <v>130</v>
      </c>
      <c r="F55" s="14">
        <f>IF($B55="","",IFERROR(INDEX('Base de Datos'!$C$6:$C$103,MATCH($B55,'Base de Datos'!$J$6:$J$103,0)),""))</f>
        <v>80.009999999999991</v>
      </c>
      <c r="G55" s="21">
        <v>736.6</v>
      </c>
      <c r="H55" s="21">
        <v>1498.6</v>
      </c>
      <c r="I55" s="17" t="str">
        <f t="shared" si="0"/>
        <v>62-B1 - Marco</v>
      </c>
      <c r="J55" s="21">
        <v>1</v>
      </c>
      <c r="K55" s="14">
        <f>IF($F55="","",($F55+'Base de Datos'!$B$2)/10)</f>
        <v>11.000999999999999</v>
      </c>
      <c r="L55" s="14">
        <f>IF($G55="","",($G55+'Base de Datos'!$B$2)/10)</f>
        <v>76.66</v>
      </c>
      <c r="M55" s="14">
        <f>IF($H55="","",($H55+'Base de Datos'!$B$2)/10)</f>
        <v>152.85999999999999</v>
      </c>
    </row>
    <row r="56" spans="1:17" x14ac:dyDescent="0.25">
      <c r="A56" s="20" t="s">
        <v>127</v>
      </c>
      <c r="B56" s="12" t="s">
        <v>94</v>
      </c>
      <c r="C56" s="20" t="s">
        <v>35</v>
      </c>
      <c r="D56" s="13" t="str">
        <f>IF($B56="","",IFERROR(INDEX('Base de Datos'!$B$6:$B$103,MATCH($B56,'Base de Datos'!$J$6:$J$103,0)),"No encontrado"))</f>
        <v>Marco</v>
      </c>
      <c r="E56" s="20" t="s">
        <v>130</v>
      </c>
      <c r="F56" s="14">
        <f>IF($B56="","",IFERROR(INDEX('Base de Datos'!$C$6:$C$103,MATCH($B56,'Base de Datos'!$J$6:$J$103,0)),""))</f>
        <v>155.19399999999999</v>
      </c>
      <c r="G56" s="20">
        <v>1232.8998999999999</v>
      </c>
      <c r="H56" s="20">
        <v>3009.8998999999999</v>
      </c>
      <c r="I56" s="17" t="str">
        <f t="shared" si="0"/>
        <v>21-011 - Marco</v>
      </c>
      <c r="J56" s="20">
        <v>1</v>
      </c>
      <c r="K56" s="14">
        <f>IF($F56="","",($F56+'Base de Datos'!$B$2)/10)</f>
        <v>18.519399999999997</v>
      </c>
      <c r="L56" s="14">
        <f>IF($G56="","",($G56+'Base de Datos'!$B$2)/10)</f>
        <v>126.28998999999999</v>
      </c>
      <c r="M56" s="14">
        <f>IF($H56="","",($H56+'Base de Datos'!$B$2)/10)</f>
        <v>303.98998999999998</v>
      </c>
    </row>
    <row r="57" spans="1:17" x14ac:dyDescent="0.25">
      <c r="A57" s="21" t="s">
        <v>128</v>
      </c>
      <c r="B57" s="12" t="s">
        <v>109</v>
      </c>
      <c r="C57" s="21" t="s">
        <v>30</v>
      </c>
      <c r="D57" s="13" t="str">
        <f>IF($B57="","",IFERROR(INDEX('Base de Datos'!$B$6:$B$103,MATCH($B57,'Base de Datos'!$J$6:$J$103,0)),"No encontrado"))</f>
        <v>Marco</v>
      </c>
      <c r="E57" s="21" t="s">
        <v>130</v>
      </c>
      <c r="F57" s="14">
        <f>IF($B57="","",IFERROR(INDEX('Base de Datos'!$C$6:$C$103,MATCH($B57,'Base de Datos'!$J$6:$J$103,0)),""))</f>
        <v>90.932000000000002</v>
      </c>
      <c r="G57" s="21">
        <v>1196.9749999999999</v>
      </c>
      <c r="H57" s="21">
        <v>3035.3</v>
      </c>
      <c r="I57" s="17" t="str">
        <f t="shared" si="0"/>
        <v>15-S - Marco</v>
      </c>
      <c r="J57" s="21">
        <v>1</v>
      </c>
      <c r="K57" s="14">
        <f>IF($F57="","",($F57+'Base de Datos'!$B$2)/10)</f>
        <v>12.0932</v>
      </c>
      <c r="L57" s="14">
        <f>IF($G57="","",($G57+'Base de Datos'!$B$2)/10)</f>
        <v>122.69749999999999</v>
      </c>
      <c r="M57" s="14">
        <f>IF($H57="","",($H57+'Base de Datos'!$B$2)/10)</f>
        <v>306.53000000000003</v>
      </c>
    </row>
    <row r="58" spans="1:17" x14ac:dyDescent="0.25">
      <c r="A58" s="21" t="s">
        <v>126</v>
      </c>
      <c r="B58" s="12" t="s">
        <v>87</v>
      </c>
      <c r="C58" s="21" t="s">
        <v>63</v>
      </c>
      <c r="D58" s="13" t="str">
        <f>IF($B58="","",IFERROR(INDEX('Base de Datos'!$B$6:$B$103,MATCH($B58,'Base de Datos'!$J$6:$J$103,0)),"No encontrado"))</f>
        <v>Marco</v>
      </c>
      <c r="E58" s="21" t="s">
        <v>130</v>
      </c>
      <c r="F58" s="14">
        <f>IF($B58="","",IFERROR(INDEX('Base de Datos'!$C$6:$C$103,MATCH($B58,'Base de Datos'!$J$6:$J$103,0)),""))</f>
        <v>80.009999999999991</v>
      </c>
      <c r="G58" s="21">
        <v>736.6</v>
      </c>
      <c r="H58" s="21">
        <v>1498.6</v>
      </c>
      <c r="I58" s="17" t="str">
        <f t="shared" si="0"/>
        <v>11-B1 - Marco</v>
      </c>
      <c r="J58" s="21">
        <v>2</v>
      </c>
      <c r="K58" s="14">
        <f>IF($F58="","",($F58+'Base de Datos'!$B$2)/10)</f>
        <v>11.000999999999999</v>
      </c>
      <c r="L58" s="14">
        <f>IF($G58="","",($G58+'Base de Datos'!$B$2)/10)</f>
        <v>76.66</v>
      </c>
      <c r="M58" s="14">
        <f>IF($H58="","",($H58+'Base de Datos'!$B$2)/10)</f>
        <v>152.85999999999999</v>
      </c>
      <c r="N58" s="18"/>
      <c r="O58" s="19"/>
      <c r="P58" s="19"/>
      <c r="Q58" s="19"/>
    </row>
    <row r="59" spans="1:17" x14ac:dyDescent="0.25">
      <c r="A59" s="21" t="s">
        <v>127</v>
      </c>
      <c r="B59" s="12" t="s">
        <v>94</v>
      </c>
      <c r="C59" s="21" t="s">
        <v>37</v>
      </c>
      <c r="D59" s="13" t="str">
        <f>IF($B59="","",IFERROR(INDEX('Base de Datos'!$B$6:$B$103,MATCH($B59,'Base de Datos'!$J$6:$J$103,0)),"No encontrado"))</f>
        <v>Marco</v>
      </c>
      <c r="E59" s="21" t="s">
        <v>130</v>
      </c>
      <c r="F59" s="14">
        <f>IF($B59="","",IFERROR(INDEX('Base de Datos'!$C$6:$C$103,MATCH($B59,'Base de Datos'!$J$6:$J$103,0)),""))</f>
        <v>155.19399999999999</v>
      </c>
      <c r="G59" s="21">
        <v>1434.1369</v>
      </c>
      <c r="H59" s="21">
        <v>2438.3998999999999</v>
      </c>
      <c r="I59" s="17" t="str">
        <f t="shared" si="0"/>
        <v>55-C10 - Marco</v>
      </c>
      <c r="J59" s="21">
        <v>1</v>
      </c>
      <c r="K59" s="14">
        <f>IF($F59="","",($F59+'Base de Datos'!$B$2)/10)</f>
        <v>18.519399999999997</v>
      </c>
      <c r="L59" s="14">
        <f>IF($G59="","",($G59+'Base de Datos'!$B$2)/10)</f>
        <v>146.41369</v>
      </c>
      <c r="M59" s="14">
        <f>IF($H59="","",($H59+'Base de Datos'!$B$2)/10)</f>
        <v>246.83999</v>
      </c>
      <c r="N59" s="18"/>
      <c r="O59" s="19"/>
      <c r="P59" s="19"/>
      <c r="Q59" s="19"/>
    </row>
    <row r="60" spans="1:17" x14ac:dyDescent="0.25">
      <c r="A60" s="20" t="s">
        <v>127</v>
      </c>
      <c r="B60" s="12" t="s">
        <v>94</v>
      </c>
      <c r="C60" s="20" t="s">
        <v>132</v>
      </c>
      <c r="D60" s="13" t="str">
        <f>IF($B60="","",IFERROR(INDEX('Base de Datos'!$B$6:$B$103,MATCH($B60,'Base de Datos'!$J$6:$J$103,0)),"No encontrado"))</f>
        <v>Marco</v>
      </c>
      <c r="E60" s="20" t="s">
        <v>130</v>
      </c>
      <c r="F60" s="14">
        <f>IF($B60="","",IFERROR(INDEX('Base de Datos'!$C$6:$C$103,MATCH($B60,'Base de Datos'!$J$6:$J$103,0)),""))</f>
        <v>155.19399999999999</v>
      </c>
      <c r="G60" s="20">
        <v>747.73749999999995</v>
      </c>
      <c r="H60" s="20">
        <v>3047.4081999999999</v>
      </c>
      <c r="I60" s="17" t="str">
        <f t="shared" si="0"/>
        <v>43-C2-C20_C2 - Marco</v>
      </c>
      <c r="J60" s="20">
        <v>1</v>
      </c>
      <c r="K60" s="14">
        <f>IF($F60="","",($F60+'Base de Datos'!$B$2)/10)</f>
        <v>18.519399999999997</v>
      </c>
      <c r="L60" s="14">
        <f>IF($G60="","",($G60+'Base de Datos'!$B$2)/10)</f>
        <v>77.773749999999993</v>
      </c>
      <c r="M60" s="14">
        <f>IF($H60="","",($H60+'Base de Datos'!$B$2)/10)</f>
        <v>307.74081999999999</v>
      </c>
      <c r="N60" s="18"/>
      <c r="O60" s="19"/>
      <c r="P60" s="19"/>
      <c r="Q60" s="19"/>
    </row>
    <row r="61" spans="1:17" x14ac:dyDescent="0.25">
      <c r="A61" s="21" t="s">
        <v>127</v>
      </c>
      <c r="B61" s="12" t="s">
        <v>94</v>
      </c>
      <c r="C61" s="21" t="s">
        <v>132</v>
      </c>
      <c r="D61" s="13" t="str">
        <f>IF($B61="","",IFERROR(INDEX('Base de Datos'!$B$6:$B$103,MATCH($B61,'Base de Datos'!$J$6:$J$103,0)),"No encontrado"))</f>
        <v>Marco</v>
      </c>
      <c r="E61" s="21" t="s">
        <v>130</v>
      </c>
      <c r="F61" s="14">
        <f>IF($B61="","",IFERROR(INDEX('Base de Datos'!$C$6:$C$103,MATCH($B61,'Base de Datos'!$J$6:$J$103,0)),""))</f>
        <v>155.19399999999999</v>
      </c>
      <c r="G61" s="21">
        <v>998.66200000000003</v>
      </c>
      <c r="H61" s="21">
        <v>3047.4081999999999</v>
      </c>
      <c r="I61" s="17" t="str">
        <f t="shared" si="0"/>
        <v>43-C2-C20_C2 - Marco</v>
      </c>
      <c r="J61" s="21">
        <v>1</v>
      </c>
      <c r="K61" s="14">
        <f>IF($F61="","",($F61+'Base de Datos'!$B$2)/10)</f>
        <v>18.519399999999997</v>
      </c>
      <c r="L61" s="14">
        <f>IF($G61="","",($G61+'Base de Datos'!$B$2)/10)</f>
        <v>102.86620000000001</v>
      </c>
      <c r="M61" s="14">
        <f>IF($H61="","",($H61+'Base de Datos'!$B$2)/10)</f>
        <v>307.74081999999999</v>
      </c>
      <c r="N61" s="18"/>
      <c r="O61" s="19"/>
      <c r="P61" s="19"/>
      <c r="Q61" s="19"/>
    </row>
    <row r="62" spans="1:17" x14ac:dyDescent="0.25">
      <c r="A62" s="20" t="s">
        <v>126</v>
      </c>
      <c r="B62" s="12" t="s">
        <v>87</v>
      </c>
      <c r="C62" s="20" t="s">
        <v>74</v>
      </c>
      <c r="D62" s="13" t="str">
        <f>IF($B62="","",IFERROR(INDEX('Base de Datos'!$B$6:$B$103,MATCH($B62,'Base de Datos'!$J$6:$J$103,0)),"No encontrado"))</f>
        <v>Marco</v>
      </c>
      <c r="E62" s="20" t="s">
        <v>130</v>
      </c>
      <c r="F62" s="14">
        <f>IF($B62="","",IFERROR(INDEX('Base de Datos'!$C$6:$C$103,MATCH($B62,'Base de Datos'!$J$6:$J$103,0)),""))</f>
        <v>80.009999999999991</v>
      </c>
      <c r="G62" s="20">
        <v>736.6</v>
      </c>
      <c r="H62" s="20">
        <v>2108.1999999999998</v>
      </c>
      <c r="I62" s="17" t="str">
        <f t="shared" si="0"/>
        <v>19-C1_A2 - Marco</v>
      </c>
      <c r="J62" s="20">
        <v>1</v>
      </c>
      <c r="K62" s="14">
        <f>IF($F62="","",($F62+'Base de Datos'!$B$2)/10)</f>
        <v>11.000999999999999</v>
      </c>
      <c r="L62" s="14">
        <f>IF($G62="","",($G62+'Base de Datos'!$B$2)/10)</f>
        <v>76.66</v>
      </c>
      <c r="M62" s="14">
        <f>IF($H62="","",($H62+'Base de Datos'!$B$2)/10)</f>
        <v>213.82</v>
      </c>
      <c r="N62" s="18"/>
      <c r="O62" s="19"/>
      <c r="P62" s="19"/>
      <c r="Q62" s="19"/>
    </row>
    <row r="63" spans="1:17" x14ac:dyDescent="0.25">
      <c r="A63" s="21" t="s">
        <v>126</v>
      </c>
      <c r="B63" s="12" t="s">
        <v>87</v>
      </c>
      <c r="C63" s="21" t="s">
        <v>67</v>
      </c>
      <c r="D63" s="13" t="str">
        <f>IF($B63="","",IFERROR(INDEX('Base de Datos'!$B$6:$B$103,MATCH($B63,'Base de Datos'!$J$6:$J$103,0)),"No encontrado"))</f>
        <v>Marco</v>
      </c>
      <c r="E63" s="21" t="s">
        <v>130</v>
      </c>
      <c r="F63" s="14">
        <f>IF($B63="","",IFERROR(INDEX('Base de Datos'!$C$6:$C$103,MATCH($B63,'Base de Datos'!$J$6:$J$103,0)),""))</f>
        <v>80.009999999999991</v>
      </c>
      <c r="G63" s="21">
        <v>736.6</v>
      </c>
      <c r="H63" s="21">
        <v>1498.6</v>
      </c>
      <c r="I63" s="17" t="str">
        <f t="shared" si="0"/>
        <v>50-A2 - Marco</v>
      </c>
      <c r="J63" s="21">
        <v>1</v>
      </c>
      <c r="K63" s="14">
        <f>IF($F63="","",($F63+'Base de Datos'!$B$2)/10)</f>
        <v>11.000999999999999</v>
      </c>
      <c r="L63" s="14">
        <f>IF($G63="","",($G63+'Base de Datos'!$B$2)/10)</f>
        <v>76.66</v>
      </c>
      <c r="M63" s="14">
        <f>IF($H63="","",($H63+'Base de Datos'!$B$2)/10)</f>
        <v>152.85999999999999</v>
      </c>
      <c r="N63" s="18"/>
      <c r="O63" s="19"/>
      <c r="P63" s="19"/>
      <c r="Q63" s="19"/>
    </row>
    <row r="64" spans="1:17" x14ac:dyDescent="0.25">
      <c r="A64" s="20" t="s">
        <v>126</v>
      </c>
      <c r="B64" s="12" t="s">
        <v>87</v>
      </c>
      <c r="C64" s="20" t="s">
        <v>63</v>
      </c>
      <c r="D64" s="13" t="str">
        <f>IF($B64="","",IFERROR(INDEX('Base de Datos'!$B$6:$B$103,MATCH($B64,'Base de Datos'!$J$6:$J$103,0)),"No encontrado"))</f>
        <v>Marco</v>
      </c>
      <c r="E64" s="20" t="s">
        <v>130</v>
      </c>
      <c r="F64" s="14">
        <f>IF($B64="","",IFERROR(INDEX('Base de Datos'!$C$6:$C$103,MATCH($B64,'Base de Datos'!$J$6:$J$103,0)),""))</f>
        <v>80.009999999999991</v>
      </c>
      <c r="G64" s="20">
        <v>736.6</v>
      </c>
      <c r="H64" s="20">
        <v>1498.6</v>
      </c>
      <c r="I64" s="17" t="str">
        <f t="shared" si="0"/>
        <v>11-B1 - Marco</v>
      </c>
      <c r="J64" s="20">
        <v>1</v>
      </c>
      <c r="K64" s="14">
        <f>IF($F64="","",($F64+'Base de Datos'!$B$2)/10)</f>
        <v>11.000999999999999</v>
      </c>
      <c r="L64" s="14">
        <f>IF($G64="","",($G64+'Base de Datos'!$B$2)/10)</f>
        <v>76.66</v>
      </c>
      <c r="M64" s="14">
        <f>IF($H64="","",($H64+'Base de Datos'!$B$2)/10)</f>
        <v>152.85999999999999</v>
      </c>
      <c r="N64" s="18"/>
      <c r="O64" s="19"/>
      <c r="P64" s="19"/>
      <c r="Q64" s="19"/>
    </row>
    <row r="65" spans="1:17" x14ac:dyDescent="0.25">
      <c r="A65" s="21" t="s">
        <v>127</v>
      </c>
      <c r="B65" s="12" t="s">
        <v>94</v>
      </c>
      <c r="C65" s="21" t="s">
        <v>44</v>
      </c>
      <c r="D65" s="13" t="str">
        <f>IF($B65="","",IFERROR(INDEX('Base de Datos'!$B$6:$B$103,MATCH($B65,'Base de Datos'!$J$6:$J$103,0)),"No encontrado"))</f>
        <v>Marco</v>
      </c>
      <c r="E65" s="21" t="s">
        <v>130</v>
      </c>
      <c r="F65" s="14">
        <f>IF($B65="","",IFERROR(INDEX('Base de Datos'!$C$6:$C$103,MATCH($B65,'Base de Datos'!$J$6:$J$103,0)),""))</f>
        <v>155.19399999999999</v>
      </c>
      <c r="G65" s="21">
        <v>1537.7</v>
      </c>
      <c r="H65" s="21">
        <v>2438.3998999999999</v>
      </c>
      <c r="I65" s="17" t="str">
        <f t="shared" si="0"/>
        <v>44-C17_2 - Marco</v>
      </c>
      <c r="J65" s="21">
        <v>1</v>
      </c>
      <c r="K65" s="14">
        <f>IF($F65="","",($F65+'Base de Datos'!$B$2)/10)</f>
        <v>18.519399999999997</v>
      </c>
      <c r="L65" s="14">
        <f>IF($G65="","",($G65+'Base de Datos'!$B$2)/10)</f>
        <v>156.77000000000001</v>
      </c>
      <c r="M65" s="14">
        <f>IF($H65="","",($H65+'Base de Datos'!$B$2)/10)</f>
        <v>246.83999</v>
      </c>
      <c r="N65" s="18"/>
      <c r="O65" s="19"/>
      <c r="P65" s="19"/>
      <c r="Q65" s="19"/>
    </row>
    <row r="66" spans="1:17" x14ac:dyDescent="0.25">
      <c r="A66" s="20" t="s">
        <v>126</v>
      </c>
      <c r="B66" s="12" t="s">
        <v>87</v>
      </c>
      <c r="C66" s="20" t="s">
        <v>71</v>
      </c>
      <c r="D66" s="13" t="str">
        <f>IF($B66="","",IFERROR(INDEX('Base de Datos'!$B$6:$B$103,MATCH($B66,'Base de Datos'!$J$6:$J$103,0)),"No encontrado"))</f>
        <v>Marco</v>
      </c>
      <c r="E66" s="20" t="s">
        <v>130</v>
      </c>
      <c r="F66" s="14">
        <f>IF($B66="","",IFERROR(INDEX('Base de Datos'!$C$6:$C$103,MATCH($B66,'Base de Datos'!$J$6:$J$103,0)),""))</f>
        <v>80.009999999999991</v>
      </c>
      <c r="G66" s="20">
        <v>736.6</v>
      </c>
      <c r="H66" s="20">
        <v>1739.9482</v>
      </c>
      <c r="I66" s="17" t="str">
        <f t="shared" si="0"/>
        <v>36-C1_A2 - Marco</v>
      </c>
      <c r="J66" s="20">
        <v>1</v>
      </c>
      <c r="K66" s="14">
        <f>IF($F66="","",($F66+'Base de Datos'!$B$2)/10)</f>
        <v>11.000999999999999</v>
      </c>
      <c r="L66" s="14">
        <f>IF($G66="","",($G66+'Base de Datos'!$B$2)/10)</f>
        <v>76.66</v>
      </c>
      <c r="M66" s="14">
        <f>IF($H66="","",($H66+'Base de Datos'!$B$2)/10)</f>
        <v>176.99482</v>
      </c>
      <c r="N66" s="18"/>
      <c r="O66" s="19"/>
      <c r="P66" s="19"/>
      <c r="Q66" s="19"/>
    </row>
    <row r="67" spans="1:17" x14ac:dyDescent="0.25">
      <c r="A67" s="21" t="s">
        <v>127</v>
      </c>
      <c r="B67" s="12" t="s">
        <v>94</v>
      </c>
      <c r="C67" s="21" t="s">
        <v>35</v>
      </c>
      <c r="D67" s="13" t="str">
        <f>IF($B67="","",IFERROR(INDEX('Base de Datos'!$B$6:$B$103,MATCH($B67,'Base de Datos'!$J$6:$J$103,0)),"No encontrado"))</f>
        <v>Marco</v>
      </c>
      <c r="E67" s="21" t="s">
        <v>130</v>
      </c>
      <c r="F67" s="14">
        <f>IF($B67="","",IFERROR(INDEX('Base de Datos'!$C$6:$C$103,MATCH($B67,'Base de Datos'!$J$6:$J$103,0)),""))</f>
        <v>155.19399999999999</v>
      </c>
      <c r="G67" s="21">
        <v>1222.4000000000001</v>
      </c>
      <c r="H67" s="21">
        <v>3009.8998999999999</v>
      </c>
      <c r="I67" s="17" t="str">
        <f t="shared" si="0"/>
        <v>21-011 - Marco</v>
      </c>
      <c r="J67" s="21">
        <v>1</v>
      </c>
      <c r="K67" s="14">
        <f>IF($F67="","",($F67+'Base de Datos'!$B$2)/10)</f>
        <v>18.519399999999997</v>
      </c>
      <c r="L67" s="14">
        <f>IF($G67="","",($G67+'Base de Datos'!$B$2)/10)</f>
        <v>125.24000000000001</v>
      </c>
      <c r="M67" s="14">
        <f>IF($H67="","",($H67+'Base de Datos'!$B$2)/10)</f>
        <v>303.98998999999998</v>
      </c>
      <c r="N67" s="18"/>
      <c r="O67" s="19"/>
      <c r="P67" s="19"/>
      <c r="Q67" s="19"/>
    </row>
    <row r="68" spans="1:17" x14ac:dyDescent="0.25">
      <c r="A68" s="20" t="s">
        <v>129</v>
      </c>
      <c r="B68" s="12" t="s">
        <v>91</v>
      </c>
      <c r="C68" s="20" t="s">
        <v>26</v>
      </c>
      <c r="D68" s="13" t="str">
        <f>IF($B68="","",IFERROR(INDEX('Base de Datos'!$B$6:$B$103,MATCH($B68,'Base de Datos'!$J$6:$J$103,0)),"No encontrado"))</f>
        <v>Marco</v>
      </c>
      <c r="E68" s="20" t="s">
        <v>130</v>
      </c>
      <c r="F68" s="14">
        <f>IF($B68="","",IFERROR(INDEX('Base de Datos'!$C$6:$C$103,MATCH($B68,'Base de Datos'!$J$6:$J$103,0)),""))</f>
        <v>150.36799999999999</v>
      </c>
      <c r="G68" s="20">
        <v>762</v>
      </c>
      <c r="H68" s="20">
        <v>2044.7</v>
      </c>
      <c r="I68" s="17" t="str">
        <f t="shared" ref="I68:I102" si="1">IF(AND($C68="",$D68=""),"",$C68&amp;" - "&amp;$D68)</f>
        <v>35-C1_A2.1 - Marco</v>
      </c>
      <c r="J68" s="20">
        <v>1</v>
      </c>
      <c r="K68" s="14">
        <f>IF($F68="","",($F68+'Base de Datos'!$B$2)/10)</f>
        <v>18.036799999999999</v>
      </c>
      <c r="L68" s="14">
        <f>IF($G68="","",($G68+'Base de Datos'!$B$2)/10)</f>
        <v>79.2</v>
      </c>
      <c r="M68" s="14">
        <f>IF($H68="","",($H68+'Base de Datos'!$B$2)/10)</f>
        <v>207.46999999999997</v>
      </c>
      <c r="N68" s="18"/>
      <c r="O68" s="19"/>
      <c r="P68" s="19"/>
      <c r="Q68" s="19"/>
    </row>
    <row r="69" spans="1:17" x14ac:dyDescent="0.25">
      <c r="A69" s="21" t="s">
        <v>126</v>
      </c>
      <c r="B69" s="12" t="s">
        <v>87</v>
      </c>
      <c r="C69" s="21" t="s">
        <v>54</v>
      </c>
      <c r="D69" s="13" t="str">
        <f>IF($B69="","",IFERROR(INDEX('Base de Datos'!$B$6:$B$103,MATCH($B69,'Base de Datos'!$J$6:$J$103,0)),"No encontrado"))</f>
        <v>Marco</v>
      </c>
      <c r="E69" s="21" t="s">
        <v>130</v>
      </c>
      <c r="F69" s="14">
        <f>IF($B69="","",IFERROR(INDEX('Base de Datos'!$C$6:$C$103,MATCH($B69,'Base de Datos'!$J$6:$J$103,0)),""))</f>
        <v>80.009999999999991</v>
      </c>
      <c r="G69" s="21">
        <v>736.6</v>
      </c>
      <c r="H69" s="21">
        <v>1739.9482</v>
      </c>
      <c r="I69" s="17" t="str">
        <f t="shared" si="1"/>
        <v>37-C1_A2 - Marco</v>
      </c>
      <c r="J69" s="21">
        <v>1</v>
      </c>
      <c r="K69" s="14">
        <f>IF($F69="","",($F69+'Base de Datos'!$B$2)/10)</f>
        <v>11.000999999999999</v>
      </c>
      <c r="L69" s="14">
        <f>IF($G69="","",($G69+'Base de Datos'!$B$2)/10)</f>
        <v>76.66</v>
      </c>
      <c r="M69" s="14">
        <f>IF($H69="","",($H69+'Base de Datos'!$B$2)/10)</f>
        <v>176.99482</v>
      </c>
      <c r="N69" s="18"/>
      <c r="O69" s="19"/>
      <c r="P69" s="19"/>
      <c r="Q69" s="19"/>
    </row>
    <row r="70" spans="1:17" x14ac:dyDescent="0.25">
      <c r="A70" s="20" t="s">
        <v>125</v>
      </c>
      <c r="B70" s="12" t="s">
        <v>116</v>
      </c>
      <c r="C70" s="20" t="s">
        <v>18</v>
      </c>
      <c r="D70" s="13" t="str">
        <f>IF($B70="","",IFERROR(INDEX('Base de Datos'!$B$6:$B$103,MATCH($B70,'Base de Datos'!$J$6:$J$103,0)),"No encontrado"))</f>
        <v>Hoja Activa</v>
      </c>
      <c r="E70" s="20" t="s">
        <v>131</v>
      </c>
      <c r="F70" s="14">
        <f>IF($B70="","",IFERROR(INDEX('Base de Datos'!$C$6:$C$103,MATCH($B70,'Base de Datos'!$J$6:$J$103,0)),""))</f>
        <v>152.14599999999999</v>
      </c>
      <c r="G70" s="20">
        <v>1230.55</v>
      </c>
      <c r="H70" s="20">
        <v>3021.15</v>
      </c>
      <c r="I70" s="17" t="str">
        <f t="shared" si="1"/>
        <v>20-008 - Hoja Activa</v>
      </c>
      <c r="J70" s="20">
        <v>1</v>
      </c>
      <c r="K70" s="14">
        <f>IF($F70="","",($F70+'Base de Datos'!$B$2)/10)</f>
        <v>18.214599999999997</v>
      </c>
      <c r="L70" s="14">
        <f>IF($G70="","",($G70+'Base de Datos'!$B$2)/10)</f>
        <v>126.05499999999999</v>
      </c>
      <c r="M70" s="14">
        <f>IF($H70="","",($H70+'Base de Datos'!$B$2)/10)</f>
        <v>305.11500000000001</v>
      </c>
      <c r="N70" s="18"/>
      <c r="O70" s="19"/>
      <c r="P70" s="19"/>
      <c r="Q70" s="19"/>
    </row>
    <row r="71" spans="1:17" x14ac:dyDescent="0.25">
      <c r="A71" s="21" t="s">
        <v>126</v>
      </c>
      <c r="B71" s="12" t="s">
        <v>87</v>
      </c>
      <c r="C71" s="21" t="s">
        <v>58</v>
      </c>
      <c r="D71" s="13" t="str">
        <f>IF($B71="","",IFERROR(INDEX('Base de Datos'!$B$6:$B$103,MATCH($B71,'Base de Datos'!$J$6:$J$103,0)),"No encontrado"))</f>
        <v>Marco</v>
      </c>
      <c r="E71" s="21" t="s">
        <v>130</v>
      </c>
      <c r="F71" s="14">
        <f>IF($B71="","",IFERROR(INDEX('Base de Datos'!$C$6:$C$103,MATCH($B71,'Base de Datos'!$J$6:$J$103,0)),""))</f>
        <v>80.009999999999991</v>
      </c>
      <c r="G71" s="21">
        <v>914.4</v>
      </c>
      <c r="H71" s="21">
        <v>2413</v>
      </c>
      <c r="I71" s="17" t="str">
        <f t="shared" si="1"/>
        <v>40-C6 - Marco</v>
      </c>
      <c r="J71" s="21">
        <v>1</v>
      </c>
      <c r="K71" s="14">
        <f>IF($F71="","",($F71+'Base de Datos'!$B$2)/10)</f>
        <v>11.000999999999999</v>
      </c>
      <c r="L71" s="14">
        <f>IF($G71="","",($G71+'Base de Datos'!$B$2)/10)</f>
        <v>94.44</v>
      </c>
      <c r="M71" s="14">
        <f>IF($H71="","",($H71+'Base de Datos'!$B$2)/10)</f>
        <v>244.3</v>
      </c>
      <c r="N71" s="18"/>
      <c r="O71" s="19"/>
      <c r="P71" s="19"/>
      <c r="Q71" s="19"/>
    </row>
    <row r="72" spans="1:17" x14ac:dyDescent="0.25">
      <c r="A72" s="20" t="s">
        <v>126</v>
      </c>
      <c r="B72" s="12" t="s">
        <v>87</v>
      </c>
      <c r="C72" s="20" t="s">
        <v>70</v>
      </c>
      <c r="D72" s="13" t="str">
        <f>IF($B72="","",IFERROR(INDEX('Base de Datos'!$B$6:$B$103,MATCH($B72,'Base de Datos'!$J$6:$J$103,0)),"No encontrado"))</f>
        <v>Marco</v>
      </c>
      <c r="E72" s="20" t="s">
        <v>130</v>
      </c>
      <c r="F72" s="14">
        <f>IF($B72="","",IFERROR(INDEX('Base de Datos'!$C$6:$C$103,MATCH($B72,'Base de Datos'!$J$6:$J$103,0)),""))</f>
        <v>80.009999999999991</v>
      </c>
      <c r="G72" s="20">
        <v>736.6</v>
      </c>
      <c r="H72" s="20">
        <v>1498.6</v>
      </c>
      <c r="I72" s="17" t="str">
        <f t="shared" si="1"/>
        <v>1-B1 - Marco</v>
      </c>
      <c r="J72" s="20">
        <v>2</v>
      </c>
      <c r="K72" s="14">
        <f>IF($F72="","",($F72+'Base de Datos'!$B$2)/10)</f>
        <v>11.000999999999999</v>
      </c>
      <c r="L72" s="14">
        <f>IF($G72="","",($G72+'Base de Datos'!$B$2)/10)</f>
        <v>76.66</v>
      </c>
      <c r="M72" s="14">
        <f>IF($H72="","",($H72+'Base de Datos'!$B$2)/10)</f>
        <v>152.85999999999999</v>
      </c>
      <c r="N72" s="18"/>
      <c r="O72" s="19"/>
      <c r="P72" s="19"/>
      <c r="Q72" s="19"/>
    </row>
    <row r="73" spans="1:17" x14ac:dyDescent="0.25">
      <c r="A73" s="21" t="s">
        <v>127</v>
      </c>
      <c r="B73" s="12" t="s">
        <v>94</v>
      </c>
      <c r="C73" s="21" t="s">
        <v>43</v>
      </c>
      <c r="D73" s="13" t="str">
        <f>IF($B73="","",IFERROR(INDEX('Base de Datos'!$B$6:$B$103,MATCH($B73,'Base de Datos'!$J$6:$J$103,0)),"No encontrado"))</f>
        <v>Marco</v>
      </c>
      <c r="E73" s="21" t="s">
        <v>130</v>
      </c>
      <c r="F73" s="14">
        <f>IF($B73="","",IFERROR(INDEX('Base de Datos'!$C$6:$C$103,MATCH($B73,'Base de Datos'!$J$6:$J$103,0)),""))</f>
        <v>155.19399999999999</v>
      </c>
      <c r="G73" s="21">
        <v>1232.8998999999999</v>
      </c>
      <c r="H73" s="21">
        <v>3035.3</v>
      </c>
      <c r="I73" s="17" t="str">
        <f t="shared" si="1"/>
        <v>27-012 - Marco</v>
      </c>
      <c r="J73" s="21">
        <v>1</v>
      </c>
      <c r="K73" s="14">
        <f>IF($F73="","",($F73+'Base de Datos'!$B$2)/10)</f>
        <v>18.519399999999997</v>
      </c>
      <c r="L73" s="14">
        <f>IF($G73="","",($G73+'Base de Datos'!$B$2)/10)</f>
        <v>126.28998999999999</v>
      </c>
      <c r="M73" s="14">
        <f>IF($H73="","",($H73+'Base de Datos'!$B$2)/10)</f>
        <v>306.53000000000003</v>
      </c>
      <c r="N73" s="18"/>
      <c r="O73" s="19"/>
      <c r="P73" s="19"/>
      <c r="Q73" s="19"/>
    </row>
    <row r="74" spans="1:17" x14ac:dyDescent="0.25">
      <c r="A74" s="20" t="s">
        <v>125</v>
      </c>
      <c r="B74" s="12" t="s">
        <v>116</v>
      </c>
      <c r="C74" s="20" t="s">
        <v>22</v>
      </c>
      <c r="D74" s="13" t="str">
        <f>IF($B74="","",IFERROR(INDEX('Base de Datos'!$B$6:$B$103,MATCH($B74,'Base de Datos'!$J$6:$J$103,0)),"No encontrado"))</f>
        <v>Hoja Activa</v>
      </c>
      <c r="E74" s="20" t="s">
        <v>131</v>
      </c>
      <c r="F74" s="14">
        <f>IF($B74="","",IFERROR(INDEX('Base de Datos'!$C$6:$C$103,MATCH($B74,'Base de Datos'!$J$6:$J$103,0)),""))</f>
        <v>152.14599999999999</v>
      </c>
      <c r="G74" s="20">
        <v>1211.9000000000001</v>
      </c>
      <c r="H74" s="20">
        <v>2410.0001000000002</v>
      </c>
      <c r="I74" s="17" t="str">
        <f t="shared" si="1"/>
        <v>53-013 - Hoja Activa</v>
      </c>
      <c r="J74" s="20">
        <v>1</v>
      </c>
      <c r="K74" s="14">
        <f>IF($F74="","",($F74+'Base de Datos'!$B$2)/10)</f>
        <v>18.214599999999997</v>
      </c>
      <c r="L74" s="14">
        <f>IF($G74="","",($G74+'Base de Datos'!$B$2)/10)</f>
        <v>124.19000000000001</v>
      </c>
      <c r="M74" s="14">
        <f>IF($H74="","",($H74+'Base de Datos'!$B$2)/10)</f>
        <v>244.00001000000003</v>
      </c>
      <c r="N74" s="18"/>
      <c r="O74" s="19"/>
      <c r="P74" s="19"/>
      <c r="Q74" s="19"/>
    </row>
    <row r="75" spans="1:17" x14ac:dyDescent="0.25">
      <c r="A75" s="20" t="s">
        <v>126</v>
      </c>
      <c r="B75" s="12" t="s">
        <v>87</v>
      </c>
      <c r="C75" s="20" t="s">
        <v>77</v>
      </c>
      <c r="D75" s="13" t="str">
        <f>IF($B75="","",IFERROR(INDEX('Base de Datos'!$B$6:$B$103,MATCH($B75,'Base de Datos'!$J$6:$J$103,0)),"No encontrado"))</f>
        <v>Marco</v>
      </c>
      <c r="E75" s="20" t="s">
        <v>130</v>
      </c>
      <c r="F75" s="14">
        <f>IF($B75="","",IFERROR(INDEX('Base de Datos'!$C$6:$C$103,MATCH($B75,'Base de Datos'!$J$6:$J$103,0)),""))</f>
        <v>80.009999999999991</v>
      </c>
      <c r="G75" s="20">
        <v>736.6</v>
      </c>
      <c r="H75" s="20">
        <v>1498.6</v>
      </c>
      <c r="I75" s="17" t="str">
        <f t="shared" si="1"/>
        <v>45-B1 - Marco</v>
      </c>
      <c r="J75" s="20">
        <v>1</v>
      </c>
      <c r="K75" s="14">
        <f>IF($F75="","",($F75+'Base de Datos'!$B$2)/10)</f>
        <v>11.000999999999999</v>
      </c>
      <c r="L75" s="14">
        <f>IF($G75="","",($G75+'Base de Datos'!$B$2)/10)</f>
        <v>76.66</v>
      </c>
      <c r="M75" s="14">
        <f>IF($H75="","",($H75+'Base de Datos'!$B$2)/10)</f>
        <v>152.85999999999999</v>
      </c>
      <c r="N75" s="18"/>
      <c r="O75" s="19"/>
      <c r="P75" s="19"/>
      <c r="Q75" s="19"/>
    </row>
    <row r="76" spans="1:17" x14ac:dyDescent="0.25">
      <c r="A76" s="20" t="s">
        <v>127</v>
      </c>
      <c r="B76" s="12" t="s">
        <v>94</v>
      </c>
      <c r="C76" s="20" t="s">
        <v>52</v>
      </c>
      <c r="D76" s="13" t="str">
        <f>IF($B76="","",IFERROR(INDEX('Base de Datos'!$B$6:$B$103,MATCH($B76,'Base de Datos'!$J$6:$J$103,0)),"No encontrado"))</f>
        <v>Marco</v>
      </c>
      <c r="E76" s="20" t="s">
        <v>130</v>
      </c>
      <c r="F76" s="14">
        <f>IF($B76="","",IFERROR(INDEX('Base de Datos'!$C$6:$C$103,MATCH($B76,'Base de Datos'!$J$6:$J$103,0)),""))</f>
        <v>155.19399999999999</v>
      </c>
      <c r="G76" s="20">
        <v>863.6</v>
      </c>
      <c r="H76" s="20">
        <v>593.12049999999999</v>
      </c>
      <c r="I76" s="17" t="str">
        <f t="shared" si="1"/>
        <v>29 - Marco</v>
      </c>
      <c r="J76" s="20">
        <v>1</v>
      </c>
      <c r="K76" s="14">
        <f>IF($F76="","",($F76+'Base de Datos'!$B$2)/10)</f>
        <v>18.519399999999997</v>
      </c>
      <c r="L76" s="14">
        <f>IF($G76="","",($G76+'Base de Datos'!$B$2)/10)</f>
        <v>89.36</v>
      </c>
      <c r="M76" s="14">
        <f>IF($H76="","",($H76+'Base de Datos'!$B$2)/10)</f>
        <v>62.312049999999999</v>
      </c>
      <c r="N76" s="18"/>
      <c r="O76" s="19"/>
      <c r="P76" s="19"/>
      <c r="Q76" s="19"/>
    </row>
    <row r="77" spans="1:17" x14ac:dyDescent="0.25">
      <c r="A77" s="21" t="s">
        <v>125</v>
      </c>
      <c r="B77" s="12" t="s">
        <v>116</v>
      </c>
      <c r="C77" s="21" t="s">
        <v>17</v>
      </c>
      <c r="D77" s="13" t="str">
        <f>IF($B77="","",IFERROR(INDEX('Base de Datos'!$B$6:$B$103,MATCH($B77,'Base de Datos'!$J$6:$J$103,0)),"No encontrado"))</f>
        <v>Hoja Activa</v>
      </c>
      <c r="E77" s="21" t="s">
        <v>131</v>
      </c>
      <c r="F77" s="14">
        <f>IF($B77="","",IFERROR(INDEX('Base de Datos'!$C$6:$C$103,MATCH($B77,'Base de Datos'!$J$6:$J$103,0)),""))</f>
        <v>152.14599999999999</v>
      </c>
      <c r="G77" s="20">
        <v>1432.86</v>
      </c>
      <c r="H77" s="21">
        <v>2405.2001</v>
      </c>
      <c r="I77" s="17" t="str">
        <f t="shared" si="1"/>
        <v>59-010 - Hoja Activa</v>
      </c>
      <c r="J77" s="21">
        <v>1</v>
      </c>
      <c r="K77" s="14">
        <f>IF($F77="","",($F77+'Base de Datos'!$B$2)/10)</f>
        <v>18.214599999999997</v>
      </c>
      <c r="L77" s="14">
        <f>IF($G77="","",($G77+'Base de Datos'!$B$2)/10)</f>
        <v>146.286</v>
      </c>
      <c r="M77" s="14">
        <f>IF($H77="","",($H77+'Base de Datos'!$B$2)/10)</f>
        <v>243.52001000000001</v>
      </c>
      <c r="N77" s="18"/>
      <c r="O77" s="19"/>
      <c r="P77" s="19"/>
      <c r="Q77" s="19"/>
    </row>
    <row r="78" spans="1:17" x14ac:dyDescent="0.25">
      <c r="A78" s="20" t="s">
        <v>127</v>
      </c>
      <c r="B78" s="12" t="s">
        <v>94</v>
      </c>
      <c r="C78" s="20" t="s">
        <v>48</v>
      </c>
      <c r="D78" s="13" t="str">
        <f>IF($B78="","",IFERROR(INDEX('Base de Datos'!$B$6:$B$103,MATCH($B78,'Base de Datos'!$J$6:$J$103,0)),"No encontrado"))</f>
        <v>Marco</v>
      </c>
      <c r="E78" s="20" t="s">
        <v>130</v>
      </c>
      <c r="F78" s="14">
        <f>IF($B78="","",IFERROR(INDEX('Base de Datos'!$C$6:$C$103,MATCH($B78,'Base de Datos'!$J$6:$J$103,0)),""))</f>
        <v>155.19399999999999</v>
      </c>
      <c r="G78" s="20">
        <v>863.6</v>
      </c>
      <c r="H78" s="20">
        <v>593.12049999999999</v>
      </c>
      <c r="I78" s="17" t="str">
        <f t="shared" si="1"/>
        <v>34-C3_004.2 - Marco</v>
      </c>
      <c r="J78" s="20">
        <v>1</v>
      </c>
      <c r="K78" s="14">
        <f>IF($F78="","",($F78+'Base de Datos'!$B$2)/10)</f>
        <v>18.519399999999997</v>
      </c>
      <c r="L78" s="14">
        <f>IF($G78="","",($G78+'Base de Datos'!$B$2)/10)</f>
        <v>89.36</v>
      </c>
      <c r="M78" s="14">
        <f>IF($H78="","",($H78+'Base de Datos'!$B$2)/10)</f>
        <v>62.312049999999999</v>
      </c>
      <c r="N78" s="18"/>
      <c r="O78" s="19"/>
      <c r="P78" s="19"/>
      <c r="Q78" s="19"/>
    </row>
    <row r="79" spans="1:17" x14ac:dyDescent="0.25">
      <c r="A79" s="21" t="s">
        <v>128</v>
      </c>
      <c r="B79" s="12" t="s">
        <v>109</v>
      </c>
      <c r="C79" s="21" t="s">
        <v>27</v>
      </c>
      <c r="D79" s="13" t="str">
        <f>IF($B79="","",IFERROR(INDEX('Base de Datos'!$B$6:$B$103,MATCH($B79,'Base de Datos'!$J$6:$J$103,0)),"No encontrado"))</f>
        <v>Marco</v>
      </c>
      <c r="E79" s="21" t="s">
        <v>130</v>
      </c>
      <c r="F79" s="14">
        <f>IF($B79="","",IFERROR(INDEX('Base de Datos'!$C$6:$C$103,MATCH($B79,'Base de Datos'!$J$6:$J$103,0)),""))</f>
        <v>90.932000000000002</v>
      </c>
      <c r="G79" s="21">
        <v>863.6</v>
      </c>
      <c r="H79" s="21">
        <v>2438.3998999999999</v>
      </c>
      <c r="I79" s="17" t="str">
        <f t="shared" si="1"/>
        <v>34-C3_004.1 - Marco</v>
      </c>
      <c r="J79" s="21">
        <v>1</v>
      </c>
      <c r="K79" s="14">
        <f>IF($F79="","",($F79+'Base de Datos'!$B$2)/10)</f>
        <v>12.0932</v>
      </c>
      <c r="L79" s="14">
        <f>IF($G79="","",($G79+'Base de Datos'!$B$2)/10)</f>
        <v>89.36</v>
      </c>
      <c r="M79" s="14">
        <f>IF($H79="","",($H79+'Base de Datos'!$B$2)/10)</f>
        <v>246.83999</v>
      </c>
      <c r="N79" s="18"/>
      <c r="O79" s="19"/>
      <c r="P79" s="19"/>
      <c r="Q79" s="19"/>
    </row>
    <row r="80" spans="1:17" x14ac:dyDescent="0.25">
      <c r="A80" s="20" t="s">
        <v>126</v>
      </c>
      <c r="B80" s="12" t="s">
        <v>87</v>
      </c>
      <c r="C80" s="20" t="s">
        <v>72</v>
      </c>
      <c r="D80" s="13" t="str">
        <f>IF($B80="","",IFERROR(INDEX('Base de Datos'!$B$6:$B$103,MATCH($B80,'Base de Datos'!$J$6:$J$103,0)),"No encontrado"))</f>
        <v>Marco</v>
      </c>
      <c r="E80" s="20" t="s">
        <v>130</v>
      </c>
      <c r="F80" s="14">
        <f>IF($B80="","",IFERROR(INDEX('Base de Datos'!$C$6:$C$103,MATCH($B80,'Base de Datos'!$J$6:$J$103,0)),""))</f>
        <v>80.009999999999991</v>
      </c>
      <c r="G80" s="20">
        <v>736.6</v>
      </c>
      <c r="H80" s="20">
        <v>1498.6</v>
      </c>
      <c r="I80" s="17" t="str">
        <f t="shared" si="1"/>
        <v>64-B1 - Marco</v>
      </c>
      <c r="J80" s="20">
        <v>2</v>
      </c>
      <c r="K80" s="14">
        <f>IF($F80="","",($F80+'Base de Datos'!$B$2)/10)</f>
        <v>11.000999999999999</v>
      </c>
      <c r="L80" s="14">
        <f>IF($G80="","",($G80+'Base de Datos'!$B$2)/10)</f>
        <v>76.66</v>
      </c>
      <c r="M80" s="14">
        <f>IF($H80="","",($H80+'Base de Datos'!$B$2)/10)</f>
        <v>152.85999999999999</v>
      </c>
      <c r="N80" s="18"/>
      <c r="O80" s="19"/>
      <c r="P80" s="19"/>
      <c r="Q80" s="19"/>
    </row>
    <row r="81" spans="1:17" x14ac:dyDescent="0.25">
      <c r="A81" s="21" t="s">
        <v>126</v>
      </c>
      <c r="B81" s="12" t="s">
        <v>87</v>
      </c>
      <c r="C81" s="21" t="s">
        <v>56</v>
      </c>
      <c r="D81" s="13" t="str">
        <f>IF($B81="","",IFERROR(INDEX('Base de Datos'!$B$6:$B$103,MATCH($B81,'Base de Datos'!$J$6:$J$103,0)),"No encontrado"))</f>
        <v>Marco</v>
      </c>
      <c r="E81" s="21" t="s">
        <v>130</v>
      </c>
      <c r="F81" s="14">
        <f>IF($B81="","",IFERROR(INDEX('Base de Datos'!$C$6:$C$103,MATCH($B81,'Base de Datos'!$J$6:$J$103,0)),""))</f>
        <v>80.009999999999991</v>
      </c>
      <c r="G81" s="21">
        <v>736.6</v>
      </c>
      <c r="H81" s="21">
        <v>1498.6</v>
      </c>
      <c r="I81" s="17" t="str">
        <f t="shared" si="1"/>
        <v>62-B1 - Marco</v>
      </c>
      <c r="J81" s="21">
        <v>2</v>
      </c>
      <c r="K81" s="14">
        <f>IF($F81="","",($F81+'Base de Datos'!$B$2)/10)</f>
        <v>11.000999999999999</v>
      </c>
      <c r="L81" s="14">
        <f>IF($G81="","",($G81+'Base de Datos'!$B$2)/10)</f>
        <v>76.66</v>
      </c>
      <c r="M81" s="14">
        <f>IF($H81="","",($H81+'Base de Datos'!$B$2)/10)</f>
        <v>152.85999999999999</v>
      </c>
      <c r="N81" s="18"/>
      <c r="O81" s="19"/>
      <c r="P81" s="19"/>
      <c r="Q81" s="19"/>
    </row>
    <row r="82" spans="1:17" x14ac:dyDescent="0.25">
      <c r="A82" s="20" t="s">
        <v>126</v>
      </c>
      <c r="B82" s="12" t="s">
        <v>87</v>
      </c>
      <c r="C82" s="20" t="s">
        <v>73</v>
      </c>
      <c r="D82" s="13" t="str">
        <f>IF($B82="","",IFERROR(INDEX('Base de Datos'!$B$6:$B$103,MATCH($B82,'Base de Datos'!$J$6:$J$103,0)),"No encontrado"))</f>
        <v>Marco</v>
      </c>
      <c r="E82" s="20" t="s">
        <v>130</v>
      </c>
      <c r="F82" s="14">
        <f>IF($B82="","",IFERROR(INDEX('Base de Datos'!$C$6:$C$103,MATCH($B82,'Base de Datos'!$J$6:$J$103,0)),""))</f>
        <v>80.009999999999991</v>
      </c>
      <c r="G82" s="20">
        <v>736.6</v>
      </c>
      <c r="H82" s="20">
        <v>1498.6</v>
      </c>
      <c r="I82" s="17" t="str">
        <f t="shared" si="1"/>
        <v>51-A2 - Marco</v>
      </c>
      <c r="J82" s="20">
        <v>1</v>
      </c>
      <c r="K82" s="14">
        <f>IF($F82="","",($F82+'Base de Datos'!$B$2)/10)</f>
        <v>11.000999999999999</v>
      </c>
      <c r="L82" s="14">
        <f>IF($G82="","",($G82+'Base de Datos'!$B$2)/10)</f>
        <v>76.66</v>
      </c>
      <c r="M82" s="14">
        <f>IF($H82="","",($H82+'Base de Datos'!$B$2)/10)</f>
        <v>152.85999999999999</v>
      </c>
    </row>
    <row r="83" spans="1:17" x14ac:dyDescent="0.25">
      <c r="A83" s="21" t="s">
        <v>129</v>
      </c>
      <c r="B83" s="12" t="s">
        <v>91</v>
      </c>
      <c r="C83" s="21" t="s">
        <v>25</v>
      </c>
      <c r="D83" s="13" t="str">
        <f>IF($B83="","",IFERROR(INDEX('Base de Datos'!$B$6:$B$103,MATCH($B83,'Base de Datos'!$J$6:$J$103,0)),"No encontrado"))</f>
        <v>Marco</v>
      </c>
      <c r="E83" s="21" t="s">
        <v>130</v>
      </c>
      <c r="F83" s="14">
        <f>IF($B83="","",IFERROR(INDEX('Base de Datos'!$C$6:$C$103,MATCH($B83,'Base de Datos'!$J$6:$J$103,0)),""))</f>
        <v>150.36799999999999</v>
      </c>
      <c r="G83" s="21">
        <v>729.3</v>
      </c>
      <c r="H83" s="21">
        <v>1524</v>
      </c>
      <c r="I83" s="17" t="str">
        <f t="shared" si="1"/>
        <v>63-B1 - Marco</v>
      </c>
      <c r="J83" s="21">
        <v>1</v>
      </c>
      <c r="K83" s="14">
        <f>IF($F83="","",($F83+'Base de Datos'!$B$2)/10)</f>
        <v>18.036799999999999</v>
      </c>
      <c r="L83" s="14">
        <f>IF($G83="","",($G83+'Base de Datos'!$B$2)/10)</f>
        <v>75.929999999999993</v>
      </c>
      <c r="M83" s="14">
        <f>IF($H83="","",($H83+'Base de Datos'!$B$2)/10)</f>
        <v>155.4</v>
      </c>
    </row>
    <row r="84" spans="1:17" x14ac:dyDescent="0.25">
      <c r="A84" s="20" t="s">
        <v>127</v>
      </c>
      <c r="B84" s="12" t="s">
        <v>94</v>
      </c>
      <c r="C84" s="20" t="s">
        <v>38</v>
      </c>
      <c r="D84" s="13" t="str">
        <f>IF($B84="","",IFERROR(INDEX('Base de Datos'!$B$6:$B$103,MATCH($B84,'Base de Datos'!$J$6:$J$103,0)),"No encontrado"))</f>
        <v>Marco</v>
      </c>
      <c r="E84" s="20" t="s">
        <v>130</v>
      </c>
      <c r="F84" s="14">
        <f>IF($B84="","",IFERROR(INDEX('Base de Datos'!$C$6:$C$103,MATCH($B84,'Base de Datos'!$J$6:$J$103,0)),""))</f>
        <v>155.19399999999999</v>
      </c>
      <c r="G84" s="20">
        <v>1070.0001</v>
      </c>
      <c r="H84" s="20">
        <v>2438.3998999999999</v>
      </c>
      <c r="I84" s="17" t="str">
        <f t="shared" si="1"/>
        <v>56-C7 - Marco</v>
      </c>
      <c r="J84" s="20">
        <v>1</v>
      </c>
      <c r="K84" s="14">
        <f>IF($F84="","",($F84+'Base de Datos'!$B$2)/10)</f>
        <v>18.519399999999997</v>
      </c>
      <c r="L84" s="14">
        <f>IF($G84="","",($G84+'Base de Datos'!$B$2)/10)</f>
        <v>110.00001</v>
      </c>
      <c r="M84" s="14">
        <f>IF($H84="","",($H84+'Base de Datos'!$B$2)/10)</f>
        <v>246.83999</v>
      </c>
    </row>
    <row r="85" spans="1:17" x14ac:dyDescent="0.25">
      <c r="A85" s="21" t="s">
        <v>127</v>
      </c>
      <c r="B85" s="12" t="s">
        <v>94</v>
      </c>
      <c r="C85" s="21" t="s">
        <v>39</v>
      </c>
      <c r="D85" s="13" t="str">
        <f>IF($B85="","",IFERROR(INDEX('Base de Datos'!$B$6:$B$103,MATCH($B85,'Base de Datos'!$J$6:$J$103,0)),"No encontrado"))</f>
        <v>Marco</v>
      </c>
      <c r="E85" s="21" t="s">
        <v>130</v>
      </c>
      <c r="F85" s="14">
        <f>IF($B85="","",IFERROR(INDEX('Base de Datos'!$C$6:$C$103,MATCH($B85,'Base de Datos'!$J$6:$J$103,0)),""))</f>
        <v>155.19399999999999</v>
      </c>
      <c r="G85" s="21">
        <v>1070.0001</v>
      </c>
      <c r="H85" s="21">
        <v>2438.3998999999999</v>
      </c>
      <c r="I85" s="17" t="str">
        <f t="shared" si="1"/>
        <v>54-C7 - Marco</v>
      </c>
      <c r="J85" s="21">
        <v>1</v>
      </c>
      <c r="K85" s="14">
        <f>IF($F85="","",($F85+'Base de Datos'!$B$2)/10)</f>
        <v>18.519399999999997</v>
      </c>
      <c r="L85" s="14">
        <f>IF($G85="","",($G85+'Base de Datos'!$B$2)/10)</f>
        <v>110.00001</v>
      </c>
      <c r="M85" s="14">
        <f>IF($H85="","",($H85+'Base de Datos'!$B$2)/10)</f>
        <v>246.83999</v>
      </c>
    </row>
    <row r="86" spans="1:17" x14ac:dyDescent="0.25">
      <c r="A86" s="21" t="s">
        <v>126</v>
      </c>
      <c r="B86" s="12" t="s">
        <v>87</v>
      </c>
      <c r="C86" s="21" t="s">
        <v>78</v>
      </c>
      <c r="D86" s="13" t="str">
        <f>IF($B86="","",IFERROR(INDEX('Base de Datos'!$B$6:$B$103,MATCH($B86,'Base de Datos'!$J$6:$J$103,0)),"No encontrado"))</f>
        <v>Marco</v>
      </c>
      <c r="E86" s="21" t="s">
        <v>130</v>
      </c>
      <c r="F86" s="14">
        <f>IF($B86="","",IFERROR(INDEX('Base de Datos'!$C$6:$C$103,MATCH($B86,'Base de Datos'!$J$6:$J$103,0)),""))</f>
        <v>80.009999999999991</v>
      </c>
      <c r="G86" s="21">
        <v>736.6</v>
      </c>
      <c r="H86" s="21">
        <v>1498.6</v>
      </c>
      <c r="I86" s="17" t="str">
        <f t="shared" si="1"/>
        <v>10-B1 - Marco</v>
      </c>
      <c r="J86" s="21">
        <v>2</v>
      </c>
      <c r="K86" s="14">
        <f>IF($F86="","",($F86+'Base de Datos'!$B$2)/10)</f>
        <v>11.000999999999999</v>
      </c>
      <c r="L86" s="14">
        <f>IF($G86="","",($G86+'Base de Datos'!$B$2)/10)</f>
        <v>76.66</v>
      </c>
      <c r="M86" s="14">
        <f>IF($H86="","",($H86+'Base de Datos'!$B$2)/10)</f>
        <v>152.85999999999999</v>
      </c>
      <c r="N86" s="18"/>
      <c r="O86" s="19"/>
      <c r="P86" s="19"/>
      <c r="Q86" s="19"/>
    </row>
    <row r="87" spans="1:17" x14ac:dyDescent="0.25">
      <c r="A87" s="20" t="s">
        <v>127</v>
      </c>
      <c r="B87" s="12" t="s">
        <v>94</v>
      </c>
      <c r="C87" s="20" t="s">
        <v>34</v>
      </c>
      <c r="D87" s="13" t="str">
        <f>IF($B87="","",IFERROR(INDEX('Base de Datos'!$B$6:$B$103,MATCH($B87,'Base de Datos'!$J$6:$J$103,0)),"No encontrado"))</f>
        <v>Marco</v>
      </c>
      <c r="E87" s="20" t="s">
        <v>130</v>
      </c>
      <c r="F87" s="14">
        <f>IF($B87="","",IFERROR(INDEX('Base de Datos'!$C$6:$C$103,MATCH($B87,'Base de Datos'!$J$6:$J$103,0)),""))</f>
        <v>155.19399999999999</v>
      </c>
      <c r="G87" s="20">
        <v>1080.5</v>
      </c>
      <c r="H87" s="20">
        <v>3035.3</v>
      </c>
      <c r="I87" s="17" t="str">
        <f t="shared" si="1"/>
        <v>26-C8 - Marco</v>
      </c>
      <c r="J87" s="20">
        <v>1</v>
      </c>
      <c r="K87" s="14">
        <f>IF($F87="","",($F87+'Base de Datos'!$B$2)/10)</f>
        <v>18.519399999999997</v>
      </c>
      <c r="L87" s="14">
        <f>IF($G87="","",($G87+'Base de Datos'!$B$2)/10)</f>
        <v>111.05</v>
      </c>
      <c r="M87" s="14">
        <f>IF($H87="","",($H87+'Base de Datos'!$B$2)/10)</f>
        <v>306.53000000000003</v>
      </c>
      <c r="N87" s="18"/>
      <c r="O87" s="19"/>
      <c r="P87" s="19"/>
      <c r="Q87" s="19"/>
    </row>
    <row r="88" spans="1:17" x14ac:dyDescent="0.25">
      <c r="A88" s="21" t="s">
        <v>127</v>
      </c>
      <c r="B88" s="12" t="s">
        <v>94</v>
      </c>
      <c r="C88" s="21" t="s">
        <v>42</v>
      </c>
      <c r="D88" s="13" t="str">
        <f>IF($B88="","",IFERROR(INDEX('Base de Datos'!$B$6:$B$103,MATCH($B88,'Base de Datos'!$J$6:$J$103,0)),"No encontrado"))</f>
        <v>Marco</v>
      </c>
      <c r="E88" s="21" t="s">
        <v>130</v>
      </c>
      <c r="F88" s="14">
        <f>IF($B88="","",IFERROR(INDEX('Base de Datos'!$C$6:$C$103,MATCH($B88,'Base de Datos'!$J$6:$J$103,0)),""))</f>
        <v>155.19399999999999</v>
      </c>
      <c r="G88" s="21">
        <v>2133.6001000000001</v>
      </c>
      <c r="H88" s="21">
        <v>2669.6948000000002</v>
      </c>
      <c r="I88" s="17" t="str">
        <f t="shared" si="1"/>
        <v>42-C13 - Marco</v>
      </c>
      <c r="J88" s="21">
        <v>1</v>
      </c>
      <c r="K88" s="14">
        <f>IF($F88="","",($F88+'Base de Datos'!$B$2)/10)</f>
        <v>18.519399999999997</v>
      </c>
      <c r="L88" s="14">
        <f>IF($G88="","",($G88+'Base de Datos'!$B$2)/10)</f>
        <v>216.36001000000002</v>
      </c>
      <c r="M88" s="14">
        <f>IF($H88="","",($H88+'Base de Datos'!$B$2)/10)</f>
        <v>269.96948000000003</v>
      </c>
      <c r="N88" s="18"/>
      <c r="O88" s="19"/>
      <c r="P88" s="19"/>
      <c r="Q88" s="19"/>
    </row>
    <row r="89" spans="1:17" x14ac:dyDescent="0.25">
      <c r="A89" s="20" t="s">
        <v>126</v>
      </c>
      <c r="B89" s="12" t="s">
        <v>87</v>
      </c>
      <c r="C89" s="20" t="s">
        <v>75</v>
      </c>
      <c r="D89" s="13" t="str">
        <f>IF($B89="","",IFERROR(INDEX('Base de Datos'!$B$6:$B$103,MATCH($B89,'Base de Datos'!$J$6:$J$103,0)),"No encontrado"))</f>
        <v>Marco</v>
      </c>
      <c r="E89" s="20" t="s">
        <v>130</v>
      </c>
      <c r="F89" s="14">
        <f>IF($B89="","",IFERROR(INDEX('Base de Datos'!$C$6:$C$103,MATCH($B89,'Base de Datos'!$J$6:$J$103,0)),""))</f>
        <v>80.009999999999991</v>
      </c>
      <c r="G89" s="20">
        <v>901.7</v>
      </c>
      <c r="H89" s="20">
        <v>609.6</v>
      </c>
      <c r="I89" s="17" t="str">
        <f t="shared" si="1"/>
        <v>17-C4 - Marco</v>
      </c>
      <c r="J89" s="20">
        <v>2</v>
      </c>
      <c r="K89" s="14">
        <f>IF($F89="","",($F89+'Base de Datos'!$B$2)/10)</f>
        <v>11.000999999999999</v>
      </c>
      <c r="L89" s="14">
        <f>IF($G89="","",($G89+'Base de Datos'!$B$2)/10)</f>
        <v>93.17</v>
      </c>
      <c r="M89" s="14">
        <f>IF($H89="","",($H89+'Base de Datos'!$B$2)/10)</f>
        <v>63.96</v>
      </c>
      <c r="N89" s="18"/>
      <c r="O89" s="19"/>
      <c r="P89" s="19"/>
      <c r="Q89" s="19"/>
    </row>
    <row r="90" spans="1:17" x14ac:dyDescent="0.25">
      <c r="A90" s="21" t="s">
        <v>127</v>
      </c>
      <c r="B90" s="12" t="s">
        <v>94</v>
      </c>
      <c r="C90" s="21" t="s">
        <v>34</v>
      </c>
      <c r="D90" s="13" t="str">
        <f>IF($B90="","",IFERROR(INDEX('Base de Datos'!$B$6:$B$103,MATCH($B90,'Base de Datos'!$J$6:$J$103,0)),"No encontrado"))</f>
        <v>Marco</v>
      </c>
      <c r="E90" s="21" t="s">
        <v>130</v>
      </c>
      <c r="F90" s="14">
        <f>IF($B90="","",IFERROR(INDEX('Base de Datos'!$C$6:$C$103,MATCH($B90,'Base de Datos'!$J$6:$J$103,0)),""))</f>
        <v>155.19399999999999</v>
      </c>
      <c r="G90" s="21">
        <v>1070.0001</v>
      </c>
      <c r="H90" s="21">
        <v>3035.3</v>
      </c>
      <c r="I90" s="17" t="str">
        <f t="shared" si="1"/>
        <v>26-C8 - Marco</v>
      </c>
      <c r="J90" s="21">
        <v>1</v>
      </c>
      <c r="K90" s="14">
        <f>IF($F90="","",($F90+'Base de Datos'!$B$2)/10)</f>
        <v>18.519399999999997</v>
      </c>
      <c r="L90" s="14">
        <f>IF($G90="","",($G90+'Base de Datos'!$B$2)/10)</f>
        <v>110.00001</v>
      </c>
      <c r="M90" s="14">
        <f>IF($H90="","",($H90+'Base de Datos'!$B$2)/10)</f>
        <v>306.53000000000003</v>
      </c>
      <c r="N90" s="18"/>
      <c r="O90" s="19"/>
      <c r="P90" s="19"/>
      <c r="Q90" s="19"/>
    </row>
    <row r="91" spans="1:17" x14ac:dyDescent="0.25">
      <c r="A91" s="20" t="s">
        <v>128</v>
      </c>
      <c r="B91" s="12" t="s">
        <v>109</v>
      </c>
      <c r="C91" s="20" t="s">
        <v>29</v>
      </c>
      <c r="D91" s="13" t="str">
        <f>IF($B91="","",IFERROR(INDEX('Base de Datos'!$B$6:$B$103,MATCH($B91,'Base de Datos'!$J$6:$J$103,0)),"No encontrado"))</f>
        <v>Marco</v>
      </c>
      <c r="E91" s="20" t="s">
        <v>130</v>
      </c>
      <c r="F91" s="14">
        <f>IF($B91="","",IFERROR(INDEX('Base de Datos'!$C$6:$C$103,MATCH($B91,'Base de Datos'!$J$6:$J$103,0)),""))</f>
        <v>90.932000000000002</v>
      </c>
      <c r="G91" s="20">
        <v>965.2</v>
      </c>
      <c r="H91" s="20">
        <v>2438.3998999999999</v>
      </c>
      <c r="I91" s="17" t="str">
        <f t="shared" si="1"/>
        <v>4-C5_003 - Marco</v>
      </c>
      <c r="J91" s="20">
        <v>1</v>
      </c>
      <c r="K91" s="14">
        <f>IF($F91="","",($F91+'Base de Datos'!$B$2)/10)</f>
        <v>12.0932</v>
      </c>
      <c r="L91" s="14">
        <f>IF($G91="","",($G91+'Base de Datos'!$B$2)/10)</f>
        <v>99.52000000000001</v>
      </c>
      <c r="M91" s="14">
        <f>IF($H91="","",($H91+'Base de Datos'!$B$2)/10)</f>
        <v>246.83999</v>
      </c>
      <c r="N91" s="18"/>
      <c r="O91" s="19"/>
      <c r="P91" s="19"/>
      <c r="Q91" s="19"/>
    </row>
    <row r="92" spans="1:17" x14ac:dyDescent="0.25">
      <c r="A92" s="21" t="s">
        <v>125</v>
      </c>
      <c r="B92" s="12" t="s">
        <v>116</v>
      </c>
      <c r="C92" s="21" t="s">
        <v>17</v>
      </c>
      <c r="D92" s="13" t="str">
        <f>IF($B92="","",IFERROR(INDEX('Base de Datos'!$B$6:$B$103,MATCH($B92,'Base de Datos'!$J$6:$J$103,0)),"No encontrado"))</f>
        <v>Hoja Activa</v>
      </c>
      <c r="E92" s="21" t="s">
        <v>131</v>
      </c>
      <c r="F92" s="14">
        <f>IF($B92="","",IFERROR(INDEX('Base de Datos'!$C$6:$C$103,MATCH($B92,'Base de Datos'!$J$6:$J$103,0)),""))</f>
        <v>152.14599999999999</v>
      </c>
      <c r="G92" s="20">
        <v>1432.86</v>
      </c>
      <c r="H92" s="21">
        <v>2405.2001</v>
      </c>
      <c r="I92" s="17" t="str">
        <f t="shared" si="1"/>
        <v>59-010 - Hoja Activa</v>
      </c>
      <c r="J92" s="21">
        <v>1</v>
      </c>
      <c r="K92" s="14">
        <f>IF($F92="","",($F92+'Base de Datos'!$B$2)/10)</f>
        <v>18.214599999999997</v>
      </c>
      <c r="L92" s="14">
        <f>IF($G92="","",($G92+'Base de Datos'!$B$2)/10)</f>
        <v>146.286</v>
      </c>
      <c r="M92" s="14">
        <f>IF($H92="","",($H92+'Base de Datos'!$B$2)/10)</f>
        <v>243.52001000000001</v>
      </c>
      <c r="N92" s="18"/>
      <c r="O92" s="19"/>
      <c r="P92" s="19"/>
      <c r="Q92" s="19"/>
    </row>
    <row r="93" spans="1:17" x14ac:dyDescent="0.25">
      <c r="A93" s="20" t="s">
        <v>127</v>
      </c>
      <c r="B93" s="12" t="s">
        <v>94</v>
      </c>
      <c r="C93" s="20" t="s">
        <v>41</v>
      </c>
      <c r="D93" s="13" t="str">
        <f>IF($B93="","",IFERROR(INDEX('Base de Datos'!$B$6:$B$103,MATCH($B93,'Base de Datos'!$J$6:$J$103,0)),"No encontrado"))</f>
        <v>Marco</v>
      </c>
      <c r="E93" s="20" t="s">
        <v>130</v>
      </c>
      <c r="F93" s="14">
        <f>IF($B93="","",IFERROR(INDEX('Base de Datos'!$C$6:$C$103,MATCH($B93,'Base de Datos'!$J$6:$J$103,0)),""))</f>
        <v>155.19399999999999</v>
      </c>
      <c r="G93" s="20">
        <v>1527.2</v>
      </c>
      <c r="H93" s="20">
        <v>3035.3</v>
      </c>
      <c r="I93" s="17" t="str">
        <f t="shared" si="1"/>
        <v>8-C18 - Marco</v>
      </c>
      <c r="J93" s="20">
        <v>1</v>
      </c>
      <c r="K93" s="14">
        <f>IF($F93="","",($F93+'Base de Datos'!$B$2)/10)</f>
        <v>18.519399999999997</v>
      </c>
      <c r="L93" s="14">
        <f>IF($G93="","",($G93+'Base de Datos'!$B$2)/10)</f>
        <v>155.72</v>
      </c>
      <c r="M93" s="14">
        <f>IF($H93="","",($H93+'Base de Datos'!$B$2)/10)</f>
        <v>306.53000000000003</v>
      </c>
      <c r="N93" s="18"/>
      <c r="O93" s="19"/>
      <c r="P93" s="19"/>
      <c r="Q93" s="19"/>
    </row>
    <row r="94" spans="1:17" x14ac:dyDescent="0.25">
      <c r="A94" s="20" t="s">
        <v>126</v>
      </c>
      <c r="B94" s="12" t="s">
        <v>87</v>
      </c>
      <c r="C94" s="20" t="s">
        <v>68</v>
      </c>
      <c r="D94" s="13" t="str">
        <f>IF($B94="","",IFERROR(INDEX('Base de Datos'!$B$6:$B$103,MATCH($B94,'Base de Datos'!$J$6:$J$103,0)),"No encontrado"))</f>
        <v>Marco</v>
      </c>
      <c r="E94" s="20" t="s">
        <v>130</v>
      </c>
      <c r="F94" s="14">
        <f>IF($B94="","",IFERROR(INDEX('Base de Datos'!$C$6:$C$103,MATCH($B94,'Base de Datos'!$J$6:$J$103,0)),""))</f>
        <v>80.009999999999991</v>
      </c>
      <c r="G94" s="20">
        <v>1524</v>
      </c>
      <c r="H94" s="20">
        <v>2413</v>
      </c>
      <c r="I94" s="17" t="str">
        <f t="shared" si="1"/>
        <v>39 - Marco</v>
      </c>
      <c r="J94" s="20">
        <v>1</v>
      </c>
      <c r="K94" s="14">
        <f>IF($F94="","",($F94+'Base de Datos'!$B$2)/10)</f>
        <v>11.000999999999999</v>
      </c>
      <c r="L94" s="14">
        <f>IF($G94="","",($G94+'Base de Datos'!$B$2)/10)</f>
        <v>155.4</v>
      </c>
      <c r="M94" s="14">
        <f>IF($H94="","",($H94+'Base de Datos'!$B$2)/10)</f>
        <v>244.3</v>
      </c>
      <c r="N94" s="18"/>
      <c r="O94" s="19"/>
      <c r="P94" s="19"/>
      <c r="Q94" s="19"/>
    </row>
    <row r="95" spans="1:17" x14ac:dyDescent="0.25">
      <c r="A95" s="20" t="s">
        <v>126</v>
      </c>
      <c r="B95" s="12" t="s">
        <v>87</v>
      </c>
      <c r="C95" s="20" t="s">
        <v>78</v>
      </c>
      <c r="D95" s="13" t="str">
        <f>IF($B95="","",IFERROR(INDEX('Base de Datos'!$B$6:$B$103,MATCH($B95,'Base de Datos'!$J$6:$J$103,0)),"No encontrado"))</f>
        <v>Marco</v>
      </c>
      <c r="E95" s="20" t="s">
        <v>130</v>
      </c>
      <c r="F95" s="14">
        <f>IF($B95="","",IFERROR(INDEX('Base de Datos'!$C$6:$C$103,MATCH($B95,'Base de Datos'!$J$6:$J$103,0)),""))</f>
        <v>80.009999999999991</v>
      </c>
      <c r="G95" s="20">
        <v>736.6</v>
      </c>
      <c r="H95" s="20">
        <v>1498.6</v>
      </c>
      <c r="I95" s="17" t="str">
        <f t="shared" si="1"/>
        <v>10-B1 - Marco</v>
      </c>
      <c r="J95" s="20">
        <v>1</v>
      </c>
      <c r="K95" s="14">
        <f>IF($F95="","",($F95+'Base de Datos'!$B$2)/10)</f>
        <v>11.000999999999999</v>
      </c>
      <c r="L95" s="14">
        <f>IF($G95="","",($G95+'Base de Datos'!$B$2)/10)</f>
        <v>76.66</v>
      </c>
      <c r="M95" s="14">
        <f>IF($H95="","",($H95+'Base de Datos'!$B$2)/10)</f>
        <v>152.85999999999999</v>
      </c>
      <c r="N95" s="18"/>
      <c r="O95" s="19"/>
      <c r="P95" s="19"/>
      <c r="Q95" s="19"/>
    </row>
    <row r="96" spans="1:17" x14ac:dyDescent="0.25">
      <c r="A96" s="21" t="s">
        <v>127</v>
      </c>
      <c r="B96" s="12" t="s">
        <v>94</v>
      </c>
      <c r="C96" s="21" t="s">
        <v>36</v>
      </c>
      <c r="D96" s="13" t="str">
        <f>IF($B96="","",IFERROR(INDEX('Base de Datos'!$B$6:$B$103,MATCH($B96,'Base de Datos'!$J$6:$J$103,0)),"No encontrado"))</f>
        <v>Marco</v>
      </c>
      <c r="E96" s="21" t="s">
        <v>130</v>
      </c>
      <c r="F96" s="14">
        <f>IF($B96="","",IFERROR(INDEX('Base de Datos'!$C$6:$C$103,MATCH($B96,'Base de Datos'!$J$6:$J$103,0)),""))</f>
        <v>155.19399999999999</v>
      </c>
      <c r="G96" s="21">
        <v>1070.0001</v>
      </c>
      <c r="H96" s="21">
        <v>3035.3</v>
      </c>
      <c r="I96" s="17" t="str">
        <f t="shared" si="1"/>
        <v>24-C8 - Marco</v>
      </c>
      <c r="J96" s="21">
        <v>1</v>
      </c>
      <c r="K96" s="14">
        <f>IF($F96="","",($F96+'Base de Datos'!$B$2)/10)</f>
        <v>18.519399999999997</v>
      </c>
      <c r="L96" s="14">
        <f>IF($G96="","",($G96+'Base de Datos'!$B$2)/10)</f>
        <v>110.00001</v>
      </c>
      <c r="M96" s="14">
        <f>IF($H96="","",($H96+'Base de Datos'!$B$2)/10)</f>
        <v>306.53000000000003</v>
      </c>
      <c r="N96" s="18"/>
      <c r="O96" s="19"/>
      <c r="P96" s="19"/>
      <c r="Q96" s="19"/>
    </row>
    <row r="97" spans="1:17" x14ac:dyDescent="0.25">
      <c r="A97" s="20" t="s">
        <v>126</v>
      </c>
      <c r="B97" s="12" t="s">
        <v>87</v>
      </c>
      <c r="C97" s="20" t="s">
        <v>61</v>
      </c>
      <c r="D97" s="13" t="str">
        <f>IF($B97="","",IFERROR(INDEX('Base de Datos'!$B$6:$B$103,MATCH($B97,'Base de Datos'!$J$6:$J$103,0)),"No encontrado"))</f>
        <v>Marco</v>
      </c>
      <c r="E97" s="20" t="s">
        <v>130</v>
      </c>
      <c r="F97" s="14">
        <f>IF($B97="","",IFERROR(INDEX('Base de Datos'!$C$6:$C$103,MATCH($B97,'Base de Datos'!$J$6:$J$103,0)),""))</f>
        <v>80.009999999999991</v>
      </c>
      <c r="G97" s="20">
        <v>914.4</v>
      </c>
      <c r="H97" s="20">
        <v>2413</v>
      </c>
      <c r="I97" s="17" t="str">
        <f t="shared" si="1"/>
        <v>38-C6 - Marco</v>
      </c>
      <c r="J97" s="20">
        <v>1</v>
      </c>
      <c r="K97" s="14">
        <f>IF($F97="","",($F97+'Base de Datos'!$B$2)/10)</f>
        <v>11.000999999999999</v>
      </c>
      <c r="L97" s="14">
        <f>IF($G97="","",($G97+'Base de Datos'!$B$2)/10)</f>
        <v>94.44</v>
      </c>
      <c r="M97" s="14">
        <f>IF($H97="","",($H97+'Base de Datos'!$B$2)/10)</f>
        <v>244.3</v>
      </c>
      <c r="N97" s="18"/>
      <c r="O97" s="19"/>
      <c r="P97" s="19"/>
      <c r="Q97" s="19"/>
    </row>
    <row r="98" spans="1:17" x14ac:dyDescent="0.25">
      <c r="A98" s="21" t="s">
        <v>127</v>
      </c>
      <c r="B98" s="12" t="s">
        <v>94</v>
      </c>
      <c r="C98" s="21" t="s">
        <v>41</v>
      </c>
      <c r="D98" s="13" t="str">
        <f>IF($B98="","",IFERROR(INDEX('Base de Datos'!$B$6:$B$103,MATCH($B98,'Base de Datos'!$J$6:$J$103,0)),"No encontrado"))</f>
        <v>Marco</v>
      </c>
      <c r="E98" s="21" t="s">
        <v>130</v>
      </c>
      <c r="F98" s="14">
        <f>IF($B98="","",IFERROR(INDEX('Base de Datos'!$C$6:$C$103,MATCH($B98,'Base de Datos'!$J$6:$J$103,0)),""))</f>
        <v>155.19399999999999</v>
      </c>
      <c r="G98" s="21">
        <v>1537.7</v>
      </c>
      <c r="H98" s="21">
        <v>3035.3</v>
      </c>
      <c r="I98" s="17" t="str">
        <f t="shared" si="1"/>
        <v>8-C18 - Marco</v>
      </c>
      <c r="J98" s="21">
        <v>1</v>
      </c>
      <c r="K98" s="14">
        <f>IF($F98="","",($F98+'Base de Datos'!$B$2)/10)</f>
        <v>18.519399999999997</v>
      </c>
      <c r="L98" s="14">
        <f>IF($G98="","",($G98+'Base de Datos'!$B$2)/10)</f>
        <v>156.77000000000001</v>
      </c>
      <c r="M98" s="14">
        <f>IF($H98="","",($H98+'Base de Datos'!$B$2)/10)</f>
        <v>306.53000000000003</v>
      </c>
      <c r="N98" s="18"/>
      <c r="O98" s="19"/>
      <c r="P98" s="19"/>
      <c r="Q98" s="19"/>
    </row>
    <row r="99" spans="1:17" x14ac:dyDescent="0.25">
      <c r="A99" s="20" t="s">
        <v>128</v>
      </c>
      <c r="B99" s="12" t="s">
        <v>109</v>
      </c>
      <c r="C99" s="20" t="s">
        <v>28</v>
      </c>
      <c r="D99" s="13" t="str">
        <f>IF($B99="","",IFERROR(INDEX('Base de Datos'!$B$6:$B$103,MATCH($B99,'Base de Datos'!$J$6:$J$103,0)),"No encontrado"))</f>
        <v>Marco</v>
      </c>
      <c r="E99" s="20" t="s">
        <v>130</v>
      </c>
      <c r="F99" s="14">
        <f>IF($B99="","",IFERROR(INDEX('Base de Datos'!$C$6:$C$103,MATCH($B99,'Base de Datos'!$J$6:$J$103,0)),""))</f>
        <v>90.932000000000002</v>
      </c>
      <c r="G99" s="20">
        <v>1196.9749999999999</v>
      </c>
      <c r="H99" s="20">
        <v>3035.3</v>
      </c>
      <c r="I99" s="17" t="str">
        <f t="shared" si="1"/>
        <v>14-B - Marco</v>
      </c>
      <c r="J99" s="20">
        <v>1</v>
      </c>
      <c r="K99" s="14">
        <f>IF($F99="","",($F99+'Base de Datos'!$B$2)/10)</f>
        <v>12.0932</v>
      </c>
      <c r="L99" s="14">
        <f>IF($G99="","",($G99+'Base de Datos'!$B$2)/10)</f>
        <v>122.69749999999999</v>
      </c>
      <c r="M99" s="14">
        <f>IF($H99="","",($H99+'Base de Datos'!$B$2)/10)</f>
        <v>306.53000000000003</v>
      </c>
      <c r="N99" s="18"/>
      <c r="O99" s="19"/>
      <c r="P99" s="19"/>
      <c r="Q99" s="19"/>
    </row>
    <row r="100" spans="1:17" x14ac:dyDescent="0.25">
      <c r="A100" s="21" t="s">
        <v>126</v>
      </c>
      <c r="B100" s="12" t="s">
        <v>87</v>
      </c>
      <c r="C100" s="21" t="s">
        <v>77</v>
      </c>
      <c r="D100" s="13" t="str">
        <f>IF($B100="","",IFERROR(INDEX('Base de Datos'!$B$6:$B$103,MATCH($B100,'Base de Datos'!$J$6:$J$103,0)),"No encontrado"))</f>
        <v>Marco</v>
      </c>
      <c r="E100" s="21" t="s">
        <v>130</v>
      </c>
      <c r="F100" s="14">
        <f>IF($B100="","",IFERROR(INDEX('Base de Datos'!$C$6:$C$103,MATCH($B100,'Base de Datos'!$J$6:$J$103,0)),""))</f>
        <v>80.009999999999991</v>
      </c>
      <c r="G100" s="21">
        <v>736.6</v>
      </c>
      <c r="H100" s="21">
        <v>1498.6</v>
      </c>
      <c r="I100" s="17" t="str">
        <f t="shared" si="1"/>
        <v>45-B1 - Marco</v>
      </c>
      <c r="J100" s="21">
        <v>2</v>
      </c>
      <c r="K100" s="14">
        <f>IF($F100="","",($F100+'Base de Datos'!$B$2)/10)</f>
        <v>11.000999999999999</v>
      </c>
      <c r="L100" s="14">
        <f>IF($G100="","",($G100+'Base de Datos'!$B$2)/10)</f>
        <v>76.66</v>
      </c>
      <c r="M100" s="14">
        <f>IF($H100="","",($H100+'Base de Datos'!$B$2)/10)</f>
        <v>152.85999999999999</v>
      </c>
      <c r="N100" s="18"/>
      <c r="O100" s="19"/>
      <c r="P100" s="19"/>
      <c r="Q100" s="19"/>
    </row>
    <row r="101" spans="1:17" x14ac:dyDescent="0.25">
      <c r="A101" s="20" t="s">
        <v>125</v>
      </c>
      <c r="B101" s="12" t="s">
        <v>116</v>
      </c>
      <c r="C101" s="20" t="s">
        <v>18</v>
      </c>
      <c r="D101" s="13" t="str">
        <f>IF($B101="","",IFERROR(INDEX('Base de Datos'!$B$6:$B$103,MATCH($B101,'Base de Datos'!$J$6:$J$103,0)),"No encontrado"))</f>
        <v>Hoja Activa</v>
      </c>
      <c r="E101" s="20" t="s">
        <v>131</v>
      </c>
      <c r="F101" s="14">
        <f>IF($B101="","",IFERROR(INDEX('Base de Datos'!$C$6:$C$103,MATCH($B101,'Base de Datos'!$J$6:$J$103,0)),""))</f>
        <v>152.14599999999999</v>
      </c>
      <c r="G101" s="20">
        <v>1230.55</v>
      </c>
      <c r="H101" s="20">
        <v>3021.15</v>
      </c>
      <c r="I101" s="17" t="str">
        <f t="shared" si="1"/>
        <v>20-008 - Hoja Activa</v>
      </c>
      <c r="J101" s="20">
        <v>1</v>
      </c>
      <c r="K101" s="14">
        <f>IF($F101="","",($F101+'Base de Datos'!$B$2)/10)</f>
        <v>18.214599999999997</v>
      </c>
      <c r="L101" s="14">
        <f>IF($G101="","",($G101+'Base de Datos'!$B$2)/10)</f>
        <v>126.05499999999999</v>
      </c>
      <c r="M101" s="14">
        <f>IF($H101="","",($H101+'Base de Datos'!$B$2)/10)</f>
        <v>305.11500000000001</v>
      </c>
      <c r="N101" s="18"/>
      <c r="O101" s="19"/>
      <c r="P101" s="19"/>
      <c r="Q101" s="19"/>
    </row>
    <row r="102" spans="1:17" x14ac:dyDescent="0.25">
      <c r="A102" s="20" t="s">
        <v>125</v>
      </c>
      <c r="B102" s="12" t="s">
        <v>117</v>
      </c>
      <c r="C102" s="20" t="s">
        <v>18</v>
      </c>
      <c r="D102" s="13" t="str">
        <f>IF($B102="","",IFERROR(INDEX('Base de Datos'!$B$6:$B$103,MATCH($B102,'Base de Datos'!$J$6:$J$103,0)),"No encontrado"))</f>
        <v>Hoja fija</v>
      </c>
      <c r="E102" s="20" t="s">
        <v>131</v>
      </c>
      <c r="F102" s="14">
        <f>IF($B102="","",IFERROR(INDEX('Base de Datos'!$C$6:$C$103,MATCH($B102,'Base de Datos'!$J$6:$J$103,0)),""))</f>
        <v>94.995999999999995</v>
      </c>
      <c r="G102" s="20">
        <v>1230.55</v>
      </c>
      <c r="H102" s="20">
        <v>3021.15</v>
      </c>
      <c r="I102" s="17" t="str">
        <f t="shared" si="1"/>
        <v>20-008 - Hoja fija</v>
      </c>
      <c r="J102" s="20">
        <v>1</v>
      </c>
      <c r="K102" s="14">
        <f>IF($F102="","",($F102+'Base de Datos'!$B$2)/10)</f>
        <v>12.499599999999999</v>
      </c>
      <c r="L102" s="14">
        <f>IF($G102="","",($G102+'Base de Datos'!$B$2)/10)</f>
        <v>126.05499999999999</v>
      </c>
      <c r="M102" s="14">
        <f>IF($H102="","",($H102+'Base de Datos'!$B$2)/10)</f>
        <v>305.11500000000001</v>
      </c>
      <c r="N102" s="18"/>
      <c r="O102" s="19"/>
      <c r="P102" s="19"/>
      <c r="Q102" s="19"/>
    </row>
    <row r="103" spans="1:17" x14ac:dyDescent="0.25">
      <c r="A103" s="20" t="s">
        <v>125</v>
      </c>
      <c r="B103" s="12" t="s">
        <v>116</v>
      </c>
      <c r="C103" s="20" t="s">
        <v>21</v>
      </c>
      <c r="D103" s="13" t="s">
        <v>107</v>
      </c>
      <c r="E103" s="20" t="s">
        <v>131</v>
      </c>
      <c r="F103" s="14">
        <v>152.5</v>
      </c>
      <c r="G103" s="20">
        <v>915</v>
      </c>
      <c r="H103" s="20">
        <v>3025.95</v>
      </c>
      <c r="I103" s="17" t="s">
        <v>133</v>
      </c>
      <c r="J103" s="20">
        <v>1</v>
      </c>
      <c r="K103" s="14">
        <v>18.25</v>
      </c>
      <c r="L103" s="14">
        <v>94.5</v>
      </c>
      <c r="M103" s="14">
        <v>305.59499999999997</v>
      </c>
      <c r="N103" s="18"/>
      <c r="O103" s="19"/>
      <c r="P103" s="19"/>
      <c r="Q103" s="19"/>
    </row>
    <row r="104" spans="1:17" x14ac:dyDescent="0.25">
      <c r="A104" s="21" t="s">
        <v>125</v>
      </c>
      <c r="B104" s="12" t="s">
        <v>116</v>
      </c>
      <c r="C104" s="21" t="s">
        <v>21</v>
      </c>
      <c r="D104" s="13" t="s">
        <v>107</v>
      </c>
      <c r="E104" s="21" t="s">
        <v>131</v>
      </c>
      <c r="F104" s="14">
        <v>152.5</v>
      </c>
      <c r="G104" s="21">
        <v>915</v>
      </c>
      <c r="H104" s="21">
        <v>3025.95</v>
      </c>
      <c r="I104" s="17" t="s">
        <v>133</v>
      </c>
      <c r="J104" s="21">
        <v>1</v>
      </c>
      <c r="K104" s="14">
        <v>18.25</v>
      </c>
      <c r="L104" s="14">
        <v>94.5</v>
      </c>
      <c r="M104" s="14">
        <v>305.59499999999997</v>
      </c>
      <c r="N104" s="18"/>
      <c r="O104" s="19"/>
      <c r="P104" s="19"/>
      <c r="Q104" s="19"/>
    </row>
    <row r="105" spans="1:17" x14ac:dyDescent="0.25">
      <c r="A105" s="20" t="s">
        <v>125</v>
      </c>
      <c r="B105" s="12" t="s">
        <v>116</v>
      </c>
      <c r="C105" s="20" t="s">
        <v>20</v>
      </c>
      <c r="D105" s="13" t="s">
        <v>107</v>
      </c>
      <c r="E105" s="20" t="s">
        <v>131</v>
      </c>
      <c r="F105" s="14">
        <v>152.5</v>
      </c>
      <c r="G105" s="20">
        <v>915</v>
      </c>
      <c r="H105" s="20">
        <v>2410.0001000000002</v>
      </c>
      <c r="I105" s="17" t="s">
        <v>134</v>
      </c>
      <c r="J105" s="20">
        <v>1</v>
      </c>
      <c r="K105" s="14">
        <v>18.25</v>
      </c>
      <c r="L105" s="14">
        <v>94.5</v>
      </c>
      <c r="M105" s="14">
        <v>244.00001000000003</v>
      </c>
      <c r="N105" s="18"/>
      <c r="O105" s="19"/>
      <c r="P105" s="19"/>
      <c r="Q105" s="19"/>
    </row>
    <row r="106" spans="1:17" x14ac:dyDescent="0.25">
      <c r="A106" s="21" t="s">
        <v>125</v>
      </c>
      <c r="B106" s="12" t="s">
        <v>116</v>
      </c>
      <c r="C106" s="21" t="s">
        <v>20</v>
      </c>
      <c r="D106" s="13" t="s">
        <v>107</v>
      </c>
      <c r="E106" s="21" t="s">
        <v>131</v>
      </c>
      <c r="F106" s="14">
        <v>152.5</v>
      </c>
      <c r="G106" s="21">
        <v>915</v>
      </c>
      <c r="H106" s="21">
        <v>2410.0001000000002</v>
      </c>
      <c r="I106" s="17" t="s">
        <v>134</v>
      </c>
      <c r="J106" s="21">
        <v>1</v>
      </c>
      <c r="K106" s="14">
        <v>18.25</v>
      </c>
      <c r="L106" s="14">
        <v>94.5</v>
      </c>
      <c r="M106" s="14">
        <v>244.00001000000003</v>
      </c>
      <c r="N106" s="18"/>
      <c r="O106" s="19"/>
      <c r="P106" s="19"/>
      <c r="Q106" s="19"/>
    </row>
    <row r="107" spans="1:17" x14ac:dyDescent="0.25">
      <c r="A107" s="20" t="s">
        <v>125</v>
      </c>
      <c r="B107" s="12" t="s">
        <v>117</v>
      </c>
      <c r="C107" s="20" t="s">
        <v>22</v>
      </c>
      <c r="D107" s="13" t="str">
        <f>IF($B107="","",IFERROR(INDEX('Base de Datos'!$B$6:$B$103,MATCH($B107,'Base de Datos'!$J$6:$J$103,0)),"No encontrado"))</f>
        <v>Hoja fija</v>
      </c>
      <c r="E107" s="20" t="s">
        <v>131</v>
      </c>
      <c r="F107" s="14">
        <f>IF($B107="","",IFERROR(INDEX('Base de Datos'!$C$6:$C$103,MATCH($B107,'Base de Datos'!$J$6:$J$103,0)),""))</f>
        <v>94.995999999999995</v>
      </c>
      <c r="G107" s="20">
        <v>1211.9000000000001</v>
      </c>
      <c r="H107" s="20">
        <v>2410.0001000000002</v>
      </c>
      <c r="I107" s="17" t="str">
        <f t="shared" ref="I107:I112" si="2">IF(AND($C107="",$D107=""),"",$C107&amp;" - "&amp;$D107)</f>
        <v>53-013 - Hoja fija</v>
      </c>
      <c r="J107" s="20">
        <v>1</v>
      </c>
      <c r="K107" s="14">
        <f>IF($F107="","",($F107+'Base de Datos'!$B$2)/10)</f>
        <v>12.499599999999999</v>
      </c>
      <c r="L107" s="14">
        <f>IF($G107="","",($G107+'Base de Datos'!$B$2)/10)</f>
        <v>124.19000000000001</v>
      </c>
      <c r="M107" s="14">
        <f>IF($H107="","",($H107+'Base de Datos'!$B$2)/10)</f>
        <v>244.00001000000003</v>
      </c>
      <c r="N107" s="18"/>
      <c r="O107" s="19"/>
      <c r="P107" s="19"/>
      <c r="Q107" s="19"/>
    </row>
    <row r="108" spans="1:17" x14ac:dyDescent="0.25">
      <c r="A108" s="21" t="s">
        <v>125</v>
      </c>
      <c r="B108" s="12" t="s">
        <v>117</v>
      </c>
      <c r="C108" s="21" t="s">
        <v>19</v>
      </c>
      <c r="D108" s="13" t="str">
        <f>IF($B108="","",IFERROR(INDEX('Base de Datos'!$B$6:$B$103,MATCH($B108,'Base de Datos'!$J$6:$J$103,0)),"No encontrado"))</f>
        <v>Hoja fija</v>
      </c>
      <c r="E108" s="21" t="s">
        <v>131</v>
      </c>
      <c r="F108" s="14">
        <f>IF($B108="","",IFERROR(INDEX('Base de Datos'!$C$6:$C$103,MATCH($B108,'Base de Datos'!$J$6:$J$103,0)),""))</f>
        <v>94.995999999999995</v>
      </c>
      <c r="G108" s="21">
        <v>1211.9000000000001</v>
      </c>
      <c r="H108" s="21">
        <v>2410.0001000000002</v>
      </c>
      <c r="I108" s="17" t="str">
        <f t="shared" si="2"/>
        <v>57-013 - Hoja fija</v>
      </c>
      <c r="J108" s="21">
        <v>1</v>
      </c>
      <c r="K108" s="14">
        <f>IF($F108="","",($F108+'Base de Datos'!$B$2)/10)</f>
        <v>12.499599999999999</v>
      </c>
      <c r="L108" s="14">
        <f>IF($G108="","",($G108+'Base de Datos'!$B$2)/10)</f>
        <v>124.19000000000001</v>
      </c>
      <c r="M108" s="14">
        <f>IF($H108="","",($H108+'Base de Datos'!$B$2)/10)</f>
        <v>244.00001000000003</v>
      </c>
      <c r="N108" s="18"/>
      <c r="O108" s="19"/>
      <c r="P108" s="19"/>
      <c r="Q108" s="19"/>
    </row>
    <row r="109" spans="1:17" x14ac:dyDescent="0.25">
      <c r="A109" s="21" t="s">
        <v>125</v>
      </c>
      <c r="B109" s="12" t="s">
        <v>117</v>
      </c>
      <c r="C109" s="21" t="s">
        <v>135</v>
      </c>
      <c r="D109" s="13" t="str">
        <f>IF($B109="","",IFERROR(INDEX('Base de Datos'!$B$6:$B$103,MATCH($B109,'Base de Datos'!$J$6:$J$103,0)),"No encontrado"))</f>
        <v>Hoja fija</v>
      </c>
      <c r="E109" s="21" t="s">
        <v>131</v>
      </c>
      <c r="F109" s="14">
        <f>IF($B109="","",IFERROR(INDEX('Base de Datos'!$C$6:$C$103,MATCH($B109,'Base de Datos'!$J$6:$J$103,0)),""))</f>
        <v>94.995999999999995</v>
      </c>
      <c r="G109" s="21">
        <v>1211.9000000000001</v>
      </c>
      <c r="H109" s="21">
        <v>2410.0001000000002</v>
      </c>
      <c r="I109" s="17" t="str">
        <f t="shared" si="2"/>
        <v>57-010 - Hoja fija</v>
      </c>
      <c r="J109" s="21">
        <v>1</v>
      </c>
      <c r="K109" s="14">
        <f>IF($F109="","",($F109+'Base de Datos'!$B$2)/10)</f>
        <v>12.499599999999999</v>
      </c>
      <c r="L109" s="14">
        <f>IF($G109="","",($G109+'Base de Datos'!$B$2)/10)</f>
        <v>124.19000000000001</v>
      </c>
      <c r="M109" s="14">
        <f>IF($H109="","",($H109+'Base de Datos'!$B$2)/10)</f>
        <v>244.00001000000003</v>
      </c>
      <c r="N109" s="18"/>
      <c r="O109" s="19"/>
      <c r="P109" s="19"/>
      <c r="Q109" s="19"/>
    </row>
    <row r="110" spans="1:17" x14ac:dyDescent="0.25">
      <c r="A110" s="21" t="s">
        <v>125</v>
      </c>
      <c r="B110" s="12" t="s">
        <v>116</v>
      </c>
      <c r="C110" s="21" t="s">
        <v>135</v>
      </c>
      <c r="D110" s="13" t="str">
        <f>IF($B110="","",IFERROR(INDEX('Base de Datos'!$B$6:$B$103,MATCH($B110,'Base de Datos'!$J$6:$J$103,0)),"No encontrado"))</f>
        <v>Hoja Activa</v>
      </c>
      <c r="E110" s="21" t="s">
        <v>131</v>
      </c>
      <c r="F110" s="14">
        <f>IF($B110="","",IFERROR(INDEX('Base de Datos'!$C$6:$C$103,MATCH($B110,'Base de Datos'!$J$6:$J$103,0)),""))</f>
        <v>152.14599999999999</v>
      </c>
      <c r="G110" s="21">
        <v>1211.9000000000001</v>
      </c>
      <c r="H110" s="21">
        <v>2410.0001000000002</v>
      </c>
      <c r="I110" s="17" t="str">
        <f t="shared" si="2"/>
        <v>57-010 - Hoja Activa</v>
      </c>
      <c r="J110" s="21">
        <v>2</v>
      </c>
      <c r="K110" s="14">
        <f>IF($F110="","",($F110+'Base de Datos'!$B$2)/10)</f>
        <v>18.214599999999997</v>
      </c>
      <c r="L110" s="14">
        <f>IF($G110="","",($G110+'Base de Datos'!$B$2)/10)</f>
        <v>124.19000000000001</v>
      </c>
      <c r="M110" s="14">
        <f>IF($H110="","",($H110+'Base de Datos'!$B$2)/10)</f>
        <v>244.00001000000003</v>
      </c>
      <c r="N110" s="18"/>
      <c r="O110" s="19"/>
      <c r="P110" s="19"/>
      <c r="Q110" s="19"/>
    </row>
    <row r="111" spans="1:17" x14ac:dyDescent="0.25">
      <c r="A111" s="21" t="s">
        <v>125</v>
      </c>
      <c r="B111" s="12" t="s">
        <v>116</v>
      </c>
      <c r="C111" s="21" t="s">
        <v>135</v>
      </c>
      <c r="D111" s="13" t="str">
        <f>IF($B111="","",IFERROR(INDEX('Base de Datos'!$B$6:$B$103,MATCH($B111,'Base de Datos'!$J$6:$J$103,0)),"No encontrado"))</f>
        <v>Hoja Activa</v>
      </c>
      <c r="E111" s="21" t="s">
        <v>131</v>
      </c>
      <c r="F111" s="14">
        <f>IF($B111="","",IFERROR(INDEX('Base de Datos'!$C$6:$C$103,MATCH($B111,'Base de Datos'!$J$6:$J$103,0)),""))</f>
        <v>152.14599999999999</v>
      </c>
      <c r="G111" s="21">
        <v>1211.9000000000001</v>
      </c>
      <c r="H111" s="21">
        <v>2410.0001000000002</v>
      </c>
      <c r="I111" s="17" t="str">
        <f t="shared" si="2"/>
        <v>57-010 - Hoja Activa</v>
      </c>
      <c r="J111" s="21">
        <v>3</v>
      </c>
      <c r="K111" s="14">
        <f>IF($F111="","",($F111+'Base de Datos'!$B$2)/10)</f>
        <v>18.214599999999997</v>
      </c>
      <c r="L111" s="14">
        <f>IF($G111="","",($G111+'Base de Datos'!$B$2)/10)</f>
        <v>124.19000000000001</v>
      </c>
      <c r="M111" s="14">
        <f>IF($H111="","",($H111+'Base de Datos'!$B$2)/10)</f>
        <v>244.00001000000003</v>
      </c>
      <c r="N111" s="18"/>
      <c r="O111" s="19"/>
      <c r="P111" s="19"/>
      <c r="Q111" s="19"/>
    </row>
    <row r="112" spans="1:17" x14ac:dyDescent="0.25">
      <c r="A112" s="21" t="s">
        <v>125</v>
      </c>
      <c r="B112" s="12" t="s">
        <v>115</v>
      </c>
      <c r="C112" s="21" t="s">
        <v>135</v>
      </c>
      <c r="D112" s="13" t="str">
        <f>IF($B112="","",IFERROR(INDEX('Base de Datos'!$B$6:$B$103,MATCH($B112,'Base de Datos'!$J$6:$J$103,0)),"No encontrado"))</f>
        <v>Hoja que recibe</v>
      </c>
      <c r="E112" s="21" t="s">
        <v>131</v>
      </c>
      <c r="F112" s="14">
        <f>IF($B112="","",IFERROR(INDEX('Base de Datos'!$C$6:$C$103,MATCH($B112,'Base de Datos'!$J$6:$J$103,0)),""))</f>
        <v>94.995999999999995</v>
      </c>
      <c r="G112" s="21">
        <v>1211.9000000000001</v>
      </c>
      <c r="H112" s="21">
        <v>2410.0001000000002</v>
      </c>
      <c r="I112" s="17" t="str">
        <f t="shared" si="2"/>
        <v>57-010 - Hoja que recibe</v>
      </c>
      <c r="J112" s="21">
        <v>4</v>
      </c>
      <c r="K112" s="14">
        <f>IF($F112="","",($F112+'Base de Datos'!$B$2)/10)</f>
        <v>12.499599999999999</v>
      </c>
      <c r="L112" s="14">
        <f>IF($G112="","",($G112+'Base de Datos'!$B$2)/10)</f>
        <v>124.19000000000001</v>
      </c>
      <c r="M112" s="14">
        <f>IF($H112="","",($H112+'Base de Datos'!$B$2)/10)</f>
        <v>244.00001000000003</v>
      </c>
      <c r="N112" s="18"/>
      <c r="O112" s="19"/>
      <c r="P112" s="19"/>
      <c r="Q112" s="19"/>
    </row>
  </sheetData>
  <autoFilter ref="A3:Q112" xr:uid="{4F277D30-B00E-4433-A5DA-CE055D0479E0}"/>
  <dataValidations count="2">
    <dataValidation type="list" allowBlank="1" showInputMessage="1" showErrorMessage="1" sqref="B4:B112" xr:uid="{AF9C8740-7F02-4884-A505-7834C8334508}">
      <formula1>ListaSistemas</formula1>
    </dataValidation>
    <dataValidation type="list" allowBlank="1" showInputMessage="1" showErrorMessage="1" sqref="O4:Q27 O29:Q54 O58:Q81 O86:Q112" xr:uid="{C5432BE5-768B-46B6-A280-AB1C46D38262}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 de Datos</vt:lpstr>
      <vt:lpstr>EasyCargo importación-Metri</vt:lpstr>
      <vt:lpstr>Registro de Cuadros</vt:lpstr>
      <vt:lpstr>Registro de Cuadros (2)</vt:lpstr>
    </vt:vector>
  </TitlesOfParts>
  <Company>Bee Interactive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Sojak</dc:creator>
  <cp:lastModifiedBy>Jose Francisco Nuñez Ramos</cp:lastModifiedBy>
  <dcterms:created xsi:type="dcterms:W3CDTF">2014-04-11T10:06:51Z</dcterms:created>
  <dcterms:modified xsi:type="dcterms:W3CDTF">2026-09-24T22:37:21Z</dcterms:modified>
</cp:coreProperties>
</file>